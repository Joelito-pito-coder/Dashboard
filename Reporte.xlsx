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vorita-my.sharepoint.com/personal/pstreyes_favoritafc_com/Documents/Escritorio/"/>
    </mc:Choice>
  </mc:AlternateContent>
  <xr:revisionPtr revIDLastSave="19" documentId="8_{94653010-CDCE-4E7C-8A53-581DE7711C7F}" xr6:coauthVersionLast="47" xr6:coauthVersionMax="47" xr10:uidLastSave="{B559176A-B9A0-4782-A15C-934374DAFC52}"/>
  <bookViews>
    <workbookView xWindow="-120" yWindow="-120" windowWidth="20730" windowHeight="11040" xr2:uid="{1D7765F4-ACC8-48E1-8CBF-2D6D4F460A89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Hoja1!$A$1:$W$68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9" i="1" l="1" a="1"/>
  <c r="A21" i="1" a="1"/>
  <c r="A2" i="1" a="1"/>
  <c r="V69" i="1" l="1"/>
  <c r="V72" i="1"/>
  <c r="V71" i="1"/>
  <c r="V73" i="1"/>
  <c r="V74" i="1"/>
  <c r="V75" i="1"/>
  <c r="U69" i="1"/>
  <c r="U70" i="1"/>
  <c r="U71" i="1"/>
  <c r="U72" i="1"/>
  <c r="U73" i="1"/>
  <c r="U74" i="1"/>
  <c r="U75" i="1"/>
  <c r="V70" i="1"/>
  <c r="V67" i="1"/>
  <c r="U56" i="1"/>
  <c r="U55" i="1"/>
  <c r="U52" i="1"/>
  <c r="U50" i="1"/>
  <c r="U48" i="1"/>
  <c r="U46" i="1"/>
  <c r="V68" i="1"/>
  <c r="V66" i="1"/>
  <c r="U49" i="1"/>
  <c r="U51" i="1"/>
  <c r="U53" i="1"/>
  <c r="U54" i="1"/>
  <c r="U57" i="1"/>
  <c r="U59" i="1"/>
  <c r="U61" i="1"/>
  <c r="U63" i="1"/>
  <c r="U64" i="1"/>
  <c r="U66" i="1"/>
  <c r="U68" i="1"/>
  <c r="U45" i="1"/>
  <c r="V46" i="1"/>
  <c r="V48" i="1"/>
  <c r="V50" i="1"/>
  <c r="V51" i="1"/>
  <c r="V53" i="1"/>
  <c r="V55" i="1"/>
  <c r="V57" i="1"/>
  <c r="V59" i="1"/>
  <c r="V61" i="1"/>
  <c r="V63" i="1"/>
  <c r="V65" i="1"/>
  <c r="V64" i="1"/>
  <c r="V62" i="1"/>
  <c r="V60" i="1"/>
  <c r="V58" i="1"/>
  <c r="V56" i="1"/>
  <c r="V54" i="1"/>
  <c r="V52" i="1"/>
  <c r="V49" i="1"/>
  <c r="V47" i="1"/>
  <c r="V45" i="1"/>
  <c r="U47" i="1"/>
  <c r="U58" i="1"/>
  <c r="U60" i="1"/>
  <c r="U62" i="1"/>
  <c r="U65" i="1"/>
  <c r="U67" i="1"/>
  <c r="V32" i="1"/>
  <c r="V34" i="1"/>
  <c r="V36" i="1"/>
  <c r="V38" i="1"/>
  <c r="V40" i="1"/>
  <c r="V42" i="1"/>
  <c r="V44" i="1"/>
  <c r="U21" i="1"/>
  <c r="U23" i="1"/>
  <c r="U24" i="1"/>
  <c r="U27" i="1"/>
  <c r="U28" i="1"/>
  <c r="U31" i="1"/>
  <c r="U32" i="1"/>
  <c r="U34" i="1"/>
  <c r="U36" i="1"/>
  <c r="U38" i="1"/>
  <c r="U40" i="1"/>
  <c r="U43" i="1"/>
  <c r="V33" i="1"/>
  <c r="V21" i="1"/>
  <c r="V23" i="1"/>
  <c r="V25" i="1"/>
  <c r="V27" i="1"/>
  <c r="V29" i="1"/>
  <c r="V31" i="1"/>
  <c r="V35" i="1"/>
  <c r="V37" i="1"/>
  <c r="V39" i="1"/>
  <c r="V41" i="1"/>
  <c r="V43" i="1"/>
  <c r="U37" i="1"/>
  <c r="U22" i="1"/>
  <c r="U25" i="1"/>
  <c r="U26" i="1"/>
  <c r="U29" i="1"/>
  <c r="U30" i="1"/>
  <c r="U33" i="1"/>
  <c r="U35" i="1"/>
  <c r="U39" i="1"/>
  <c r="U41" i="1"/>
  <c r="U42" i="1"/>
  <c r="U44" i="1"/>
  <c r="V22" i="1"/>
  <c r="V24" i="1"/>
  <c r="V26" i="1"/>
  <c r="V28" i="1"/>
  <c r="V30" i="1"/>
  <c r="U5" i="1"/>
  <c r="U3" i="1"/>
  <c r="V3" i="1"/>
  <c r="V20" i="1"/>
  <c r="V18" i="1"/>
  <c r="V7" i="1"/>
  <c r="U6" i="1"/>
  <c r="U8" i="1"/>
  <c r="U10" i="1"/>
  <c r="U12" i="1"/>
  <c r="U15" i="1"/>
  <c r="U16" i="1"/>
  <c r="U18" i="1"/>
  <c r="U20" i="1"/>
  <c r="V9" i="1"/>
  <c r="V11" i="1"/>
  <c r="V13" i="1"/>
  <c r="U2" i="1"/>
  <c r="V15" i="1"/>
  <c r="V17" i="1"/>
  <c r="V19" i="1"/>
  <c r="U4" i="1"/>
  <c r="V4" i="1"/>
  <c r="V5" i="1"/>
  <c r="U19" i="1"/>
  <c r="U17" i="1"/>
  <c r="V16" i="1"/>
  <c r="V14" i="1"/>
  <c r="V12" i="1"/>
  <c r="V10" i="1"/>
  <c r="V8" i="1"/>
  <c r="V6" i="1"/>
  <c r="U14" i="1"/>
  <c r="U13" i="1"/>
  <c r="U11" i="1"/>
  <c r="U9" i="1"/>
  <c r="U7" i="1"/>
  <c r="V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<sst xmlns="http://schemas.openxmlformats.org/spreadsheetml/2006/main" count="23" uniqueCount="23">
  <si>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>DEPARTAMENTO</t>
  </si>
  <si>
    <t>PROVEEDOR</t>
  </si>
  <si>
    <t>RUC</t>
  </si>
  <si>
    <t>MP</t>
  </si>
  <si>
    <t>NL</t>
  </si>
  <si>
    <t>CI</t>
  </si>
  <si>
    <t>SC</t>
  </si>
  <si>
    <t>IESS</t>
  </si>
  <si>
    <t>SRI</t>
  </si>
  <si>
    <t>BASC</t>
  </si>
  <si>
    <t>UAFE</t>
  </si>
  <si>
    <t>AP</t>
  </si>
  <si>
    <t>CF</t>
  </si>
  <si>
    <t>BC</t>
  </si>
  <si>
    <t>RC</t>
  </si>
  <si>
    <t>DCI</t>
  </si>
  <si>
    <t>MPA</t>
  </si>
  <si>
    <t>CON</t>
  </si>
  <si>
    <t>SEG</t>
  </si>
  <si>
    <t>CUMPLIMIENTO(%)</t>
  </si>
  <si>
    <t xml:space="preserve"> </t>
  </si>
  <si>
    <t>EMITIDOS</t>
  </si>
  <si>
    <t>SIN EMITIR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</si>
</sst>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4" borderId="0" xfId="0" applyFill="1"/>
    <xf numFmtId="0" fontId="3" fillId="4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0" xfId="1" applyFont="1"/>
    <xf numFmtId="0" fontId="3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1" xfId="1" applyFont="1" applyBorder="1"/>
    <xf numFmtId="0" fontId="2" fillId="2" borderId="1" xfId="0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avorita-my.sharepoint.com/personal/pstreyes_favoritafc_com/Documents/Escritorio/REPORTES%20-%20FERTISA%20C.L.xlsx" TargetMode="External"/><Relationship Id="rId1" Type="http://schemas.openxmlformats.org/officeDocument/2006/relationships/externalLinkPath" Target="REPORTES%20-%20FERTISA%20C.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OPC"/>
      <sheetName val="IND"/>
    </sheetNames>
    <sheetDataSet>
      <sheetData sheetId="0" refreshError="1"/>
      <sheetData sheetId="1">
        <row r="6">
          <cell r="A6" t="str">
            <v>OPC</v>
          </cell>
          <cell r="B6" t="str">
            <v>EQUIPUERTO</v>
          </cell>
          <cell r="C6" t="b">
            <v>1</v>
          </cell>
          <cell r="D6" t="b">
            <v>1</v>
          </cell>
          <cell r="E6" t="b">
            <v>1</v>
          </cell>
          <cell r="F6" t="b">
            <v>1</v>
          </cell>
          <cell r="G6" t="b">
            <v>1</v>
          </cell>
          <cell r="H6" t="b">
            <v>1</v>
          </cell>
          <cell r="I6" t="b">
            <v>1</v>
          </cell>
          <cell r="J6" t="b">
            <v>1</v>
          </cell>
          <cell r="K6" t="b">
            <v>1</v>
          </cell>
          <cell r="L6" t="b">
            <v>1</v>
          </cell>
          <cell r="M6" t="b">
            <v>1</v>
          </cell>
          <cell r="N6" t="b">
            <v>1</v>
          </cell>
          <cell r="O6" t="b">
            <v>1</v>
          </cell>
          <cell r="P6" t="b">
            <v>1</v>
          </cell>
          <cell r="Q6" t="b">
            <v>1</v>
          </cell>
          <cell r="R6" t="b">
            <v>1</v>
          </cell>
          <cell r="S6" t="b">
            <v>1</v>
          </cell>
          <cell r="T6">
            <v>1</v>
          </cell>
        </row>
        <row r="7">
          <cell r="A7" t="str">
            <v>OPC</v>
          </cell>
          <cell r="B7" t="str">
            <v>ECA</v>
          </cell>
          <cell r="C7" t="b">
            <v>1</v>
          </cell>
          <cell r="D7" t="b">
            <v>1</v>
          </cell>
          <cell r="E7" t="b">
            <v>1</v>
          </cell>
          <cell r="F7" t="b">
            <v>1</v>
          </cell>
          <cell r="G7" t="b">
            <v>1</v>
          </cell>
          <cell r="H7" t="b">
            <v>1</v>
          </cell>
          <cell r="I7" t="b">
            <v>1</v>
          </cell>
          <cell r="J7" t="b">
            <v>1</v>
          </cell>
          <cell r="K7" t="b">
            <v>1</v>
          </cell>
          <cell r="L7" t="b">
            <v>1</v>
          </cell>
          <cell r="M7" t="b">
            <v>1</v>
          </cell>
          <cell r="N7" t="b">
            <v>1</v>
          </cell>
          <cell r="O7" t="b">
            <v>1</v>
          </cell>
          <cell r="P7" t="b">
            <v>1</v>
          </cell>
          <cell r="Q7" t="b">
            <v>1</v>
          </cell>
          <cell r="R7" t="b">
            <v>1</v>
          </cell>
          <cell r="S7" t="b">
            <v>1</v>
          </cell>
          <cell r="T7">
            <v>1</v>
          </cell>
        </row>
        <row r="8">
          <cell r="A8" t="str">
            <v>OPC</v>
          </cell>
          <cell r="B8" t="str">
            <v>FLAMONTI</v>
          </cell>
          <cell r="C8" t="b">
            <v>1</v>
          </cell>
          <cell r="D8" t="b">
            <v>1</v>
          </cell>
          <cell r="E8" t="b">
            <v>1</v>
          </cell>
          <cell r="F8" t="b">
            <v>1</v>
          </cell>
          <cell r="G8" t="b">
            <v>1</v>
          </cell>
          <cell r="H8" t="b">
            <v>1</v>
          </cell>
          <cell r="I8" t="b">
            <v>1</v>
          </cell>
          <cell r="J8" t="b">
            <v>1</v>
          </cell>
          <cell r="K8" t="b">
            <v>1</v>
          </cell>
          <cell r="L8" t="b">
            <v>1</v>
          </cell>
          <cell r="M8" t="b">
            <v>1</v>
          </cell>
          <cell r="N8" t="b">
            <v>1</v>
          </cell>
          <cell r="O8" t="b">
            <v>1</v>
          </cell>
          <cell r="P8" t="b">
            <v>1</v>
          </cell>
          <cell r="Q8" t="b">
            <v>1</v>
          </cell>
          <cell r="R8" t="b">
            <v>1</v>
          </cell>
          <cell r="S8" t="b">
            <v>1</v>
          </cell>
          <cell r="T8">
            <v>1</v>
          </cell>
        </row>
        <row r="9">
          <cell r="A9" t="str">
            <v>OPC</v>
          </cell>
          <cell r="B9" t="str">
            <v>AMGAR</v>
          </cell>
          <cell r="C9" t="b">
            <v>1</v>
          </cell>
          <cell r="D9" t="b">
            <v>1</v>
          </cell>
          <cell r="E9" t="b">
            <v>1</v>
          </cell>
          <cell r="F9" t="b">
            <v>1</v>
          </cell>
          <cell r="G9" t="b">
            <v>1</v>
          </cell>
          <cell r="H9" t="b">
            <v>1</v>
          </cell>
          <cell r="I9" t="b">
            <v>1</v>
          </cell>
          <cell r="J9" t="b">
            <v>1</v>
          </cell>
          <cell r="K9" t="b">
            <v>1</v>
          </cell>
          <cell r="L9" t="b">
            <v>1</v>
          </cell>
          <cell r="M9" t="b">
            <v>1</v>
          </cell>
          <cell r="N9" t="b">
            <v>1</v>
          </cell>
          <cell r="O9" t="b">
            <v>1</v>
          </cell>
          <cell r="P9" t="b">
            <v>1</v>
          </cell>
          <cell r="Q9" t="b">
            <v>1</v>
          </cell>
          <cell r="R9" t="b">
            <v>1</v>
          </cell>
          <cell r="S9" t="b">
            <v>1</v>
          </cell>
          <cell r="T9">
            <v>1</v>
          </cell>
        </row>
        <row r="10">
          <cell r="A10" t="str">
            <v>OPC</v>
          </cell>
          <cell r="B10" t="str">
            <v>PORVESEA</v>
          </cell>
          <cell r="C10" t="b">
            <v>1</v>
          </cell>
          <cell r="D10" t="b">
            <v>1</v>
          </cell>
          <cell r="E10" t="b">
            <v>1</v>
          </cell>
          <cell r="F10" t="b">
            <v>1</v>
          </cell>
          <cell r="G10" t="b">
            <v>1</v>
          </cell>
          <cell r="H10" t="b">
            <v>1</v>
          </cell>
          <cell r="I10" t="b">
            <v>1</v>
          </cell>
          <cell r="J10" t="b">
            <v>1</v>
          </cell>
          <cell r="K10" t="b">
            <v>1</v>
          </cell>
          <cell r="L10" t="b">
            <v>1</v>
          </cell>
          <cell r="M10" t="b">
            <v>1</v>
          </cell>
          <cell r="N10" t="b">
            <v>1</v>
          </cell>
          <cell r="O10" t="b">
            <v>1</v>
          </cell>
          <cell r="P10" t="b">
            <v>1</v>
          </cell>
          <cell r="Q10" t="b">
            <v>1</v>
          </cell>
          <cell r="R10" t="b">
            <v>1</v>
          </cell>
          <cell r="S10" t="b">
            <v>1</v>
          </cell>
          <cell r="T10">
            <v>1</v>
          </cell>
        </row>
        <row r="11">
          <cell r="A11" t="str">
            <v>OPC</v>
          </cell>
          <cell r="B11" t="str">
            <v>PERCEVA</v>
          </cell>
          <cell r="C11" t="b">
            <v>1</v>
          </cell>
          <cell r="D11" t="b">
            <v>1</v>
          </cell>
          <cell r="E11" t="b">
            <v>1</v>
          </cell>
          <cell r="F11" t="b">
            <v>1</v>
          </cell>
          <cell r="G11" t="b">
            <v>1</v>
          </cell>
          <cell r="H11" t="b">
            <v>1</v>
          </cell>
          <cell r="I11" t="b">
            <v>1</v>
          </cell>
          <cell r="J11" t="b">
            <v>1</v>
          </cell>
          <cell r="K11" t="b">
            <v>1</v>
          </cell>
          <cell r="L11" t="b">
            <v>1</v>
          </cell>
          <cell r="M11" t="b">
            <v>1</v>
          </cell>
          <cell r="N11" t="b">
            <v>1</v>
          </cell>
          <cell r="O11" t="b">
            <v>1</v>
          </cell>
          <cell r="P11" t="b">
            <v>1</v>
          </cell>
          <cell r="Q11" t="b">
            <v>1</v>
          </cell>
          <cell r="R11" t="b">
            <v>1</v>
          </cell>
          <cell r="S11" t="b">
            <v>1</v>
          </cell>
          <cell r="T11">
            <v>1</v>
          </cell>
        </row>
        <row r="12">
          <cell r="A12" t="str">
            <v>OPC</v>
          </cell>
          <cell r="B12" t="str">
            <v>NEYMER</v>
          </cell>
          <cell r="C12" t="b">
            <v>1</v>
          </cell>
          <cell r="D12" t="b">
            <v>1</v>
          </cell>
          <cell r="E12" t="b">
            <v>1</v>
          </cell>
          <cell r="F12" t="b">
            <v>1</v>
          </cell>
          <cell r="G12" t="b">
            <v>1</v>
          </cell>
          <cell r="H12" t="b">
            <v>1</v>
          </cell>
          <cell r="I12" t="b">
            <v>1</v>
          </cell>
          <cell r="J12" t="b">
            <v>1</v>
          </cell>
          <cell r="K12" t="b">
            <v>1</v>
          </cell>
          <cell r="L12" t="b">
            <v>1</v>
          </cell>
          <cell r="M12" t="b">
            <v>1</v>
          </cell>
          <cell r="N12" t="b">
            <v>1</v>
          </cell>
          <cell r="O12" t="b">
            <v>1</v>
          </cell>
          <cell r="P12" t="b">
            <v>1</v>
          </cell>
          <cell r="Q12" t="b">
            <v>1</v>
          </cell>
          <cell r="R12" t="b">
            <v>1</v>
          </cell>
          <cell r="S12" t="b">
            <v>1</v>
          </cell>
          <cell r="T12">
            <v>1</v>
          </cell>
        </row>
        <row r="13">
          <cell r="A13" t="str">
            <v>OPC</v>
          </cell>
          <cell r="B13" t="str">
            <v>TRANSGUILLSA</v>
          </cell>
          <cell r="C13" t="b">
            <v>1</v>
          </cell>
          <cell r="D13" t="b">
            <v>1</v>
          </cell>
          <cell r="E13" t="b">
            <v>1</v>
          </cell>
          <cell r="F13" t="b">
            <v>1</v>
          </cell>
          <cell r="G13" t="b">
            <v>1</v>
          </cell>
          <cell r="H13" t="b">
            <v>1</v>
          </cell>
          <cell r="I13" t="b">
            <v>1</v>
          </cell>
          <cell r="J13" t="b">
            <v>1</v>
          </cell>
          <cell r="K13" t="b">
            <v>1</v>
          </cell>
          <cell r="L13" t="b">
            <v>1</v>
          </cell>
          <cell r="M13" t="b">
            <v>1</v>
          </cell>
          <cell r="N13" t="b">
            <v>1</v>
          </cell>
          <cell r="O13" t="b">
            <v>1</v>
          </cell>
          <cell r="P13" t="b">
            <v>1</v>
          </cell>
          <cell r="Q13" t="b">
            <v>1</v>
          </cell>
          <cell r="R13" t="b">
            <v>1</v>
          </cell>
          <cell r="S13" t="b">
            <v>1</v>
          </cell>
          <cell r="T13">
            <v>1</v>
          </cell>
        </row>
        <row r="14">
          <cell r="A14" t="str">
            <v>OPC</v>
          </cell>
          <cell r="B14" t="str">
            <v>CARGOPORT</v>
          </cell>
          <cell r="C14" t="b">
            <v>1</v>
          </cell>
          <cell r="D14" t="b">
            <v>1</v>
          </cell>
          <cell r="E14" t="b">
            <v>1</v>
          </cell>
          <cell r="F14" t="b">
            <v>1</v>
          </cell>
          <cell r="G14" t="b">
            <v>1</v>
          </cell>
          <cell r="H14" t="b">
            <v>1</v>
          </cell>
          <cell r="I14" t="b">
            <v>1</v>
          </cell>
          <cell r="J14" t="b">
            <v>1</v>
          </cell>
          <cell r="K14" t="b">
            <v>1</v>
          </cell>
          <cell r="L14" t="b">
            <v>1</v>
          </cell>
          <cell r="M14" t="b">
            <v>1</v>
          </cell>
          <cell r="N14" t="b">
            <v>0</v>
          </cell>
          <cell r="O14" t="b">
            <v>1</v>
          </cell>
          <cell r="P14" t="b">
            <v>1</v>
          </cell>
          <cell r="Q14" t="b">
            <v>1</v>
          </cell>
          <cell r="R14" t="b">
            <v>1</v>
          </cell>
          <cell r="S14" t="b">
            <v>1</v>
          </cell>
          <cell r="T14">
            <v>0.94117647058823528</v>
          </cell>
        </row>
        <row r="15">
          <cell r="A15" t="str">
            <v>OPC</v>
          </cell>
          <cell r="B15" t="str">
            <v>AMC</v>
          </cell>
          <cell r="C15" t="b">
            <v>1</v>
          </cell>
          <cell r="D15" t="b">
            <v>1</v>
          </cell>
          <cell r="E15" t="b">
            <v>1</v>
          </cell>
          <cell r="F15" t="b">
            <v>1</v>
          </cell>
          <cell r="G15" t="b">
            <v>1</v>
          </cell>
          <cell r="H15" t="b">
            <v>1</v>
          </cell>
          <cell r="I15" t="b">
            <v>1</v>
          </cell>
          <cell r="J15" t="b">
            <v>1</v>
          </cell>
          <cell r="K15" t="b">
            <v>1</v>
          </cell>
          <cell r="L15" t="b">
            <v>1</v>
          </cell>
          <cell r="M15" t="b">
            <v>1</v>
          </cell>
          <cell r="N15" t="b">
            <v>1</v>
          </cell>
          <cell r="O15" t="b">
            <v>1</v>
          </cell>
          <cell r="P15" t="b">
            <v>1</v>
          </cell>
          <cell r="Q15" t="b">
            <v>1</v>
          </cell>
          <cell r="R15" t="b">
            <v>1</v>
          </cell>
          <cell r="S15" t="b">
            <v>1</v>
          </cell>
          <cell r="T15">
            <v>1</v>
          </cell>
        </row>
        <row r="16">
          <cell r="A16" t="str">
            <v>OPC</v>
          </cell>
          <cell r="B16" t="str">
            <v>GRUAS AATLAS</v>
          </cell>
          <cell r="C16" t="b">
            <v>1</v>
          </cell>
          <cell r="D16" t="b">
            <v>1</v>
          </cell>
          <cell r="E16" t="b">
            <v>1</v>
          </cell>
          <cell r="F16" t="b">
            <v>1</v>
          </cell>
          <cell r="G16" t="b">
            <v>1</v>
          </cell>
          <cell r="H16" t="b">
            <v>1</v>
          </cell>
          <cell r="I16" t="b">
            <v>1</v>
          </cell>
          <cell r="J16" t="b">
            <v>1</v>
          </cell>
          <cell r="K16" t="b">
            <v>1</v>
          </cell>
          <cell r="L16" t="b">
            <v>1</v>
          </cell>
          <cell r="M16" t="b">
            <v>1</v>
          </cell>
          <cell r="N16" t="b">
            <v>1</v>
          </cell>
          <cell r="O16" t="b">
            <v>1</v>
          </cell>
          <cell r="P16" t="b">
            <v>1</v>
          </cell>
          <cell r="Q16" t="b">
            <v>1</v>
          </cell>
          <cell r="R16" t="str">
            <v>NA</v>
          </cell>
          <cell r="S16" t="b">
            <v>1</v>
          </cell>
          <cell r="T16">
            <v>1</v>
          </cell>
        </row>
        <row r="17">
          <cell r="A17" t="str">
            <v>OPC</v>
          </cell>
          <cell r="B17" t="str">
            <v>ZAMCA</v>
          </cell>
          <cell r="C17" t="b">
            <v>1</v>
          </cell>
          <cell r="D17" t="b">
            <v>1</v>
          </cell>
          <cell r="E17" t="b">
            <v>1</v>
          </cell>
          <cell r="F17" t="b">
            <v>1</v>
          </cell>
          <cell r="G17" t="b">
            <v>1</v>
          </cell>
          <cell r="H17" t="b">
            <v>1</v>
          </cell>
          <cell r="I17" t="b">
            <v>1</v>
          </cell>
          <cell r="J17" t="b">
            <v>1</v>
          </cell>
          <cell r="K17" t="b">
            <v>1</v>
          </cell>
          <cell r="L17" t="b">
            <v>1</v>
          </cell>
          <cell r="M17" t="b">
            <v>1</v>
          </cell>
          <cell r="N17" t="str">
            <v>NA</v>
          </cell>
          <cell r="O17" t="b">
            <v>1</v>
          </cell>
          <cell r="P17" t="b">
            <v>1</v>
          </cell>
          <cell r="Q17" t="b">
            <v>1</v>
          </cell>
          <cell r="R17" t="b">
            <v>1</v>
          </cell>
          <cell r="S17" t="b">
            <v>0</v>
          </cell>
          <cell r="T17">
            <v>0.9375</v>
          </cell>
        </row>
        <row r="18">
          <cell r="A18" t="str">
            <v>OPC</v>
          </cell>
          <cell r="B18" t="str">
            <v>SAGEMAR</v>
          </cell>
          <cell r="C18" t="b">
            <v>1</v>
          </cell>
          <cell r="D18" t="b">
            <v>1</v>
          </cell>
          <cell r="E18" t="b">
            <v>1</v>
          </cell>
          <cell r="F18" t="b">
            <v>1</v>
          </cell>
          <cell r="G18" t="b">
            <v>1</v>
          </cell>
          <cell r="H18" t="b">
            <v>1</v>
          </cell>
          <cell r="I18" t="b">
            <v>0</v>
          </cell>
          <cell r="J18" t="b">
            <v>1</v>
          </cell>
          <cell r="K18" t="b">
            <v>0</v>
          </cell>
          <cell r="L18" t="b">
            <v>1</v>
          </cell>
          <cell r="M18" t="b">
            <v>1</v>
          </cell>
          <cell r="N18" t="str">
            <v>NA</v>
          </cell>
          <cell r="O18" t="b">
            <v>1</v>
          </cell>
          <cell r="P18" t="b">
            <v>1</v>
          </cell>
          <cell r="Q18" t="str">
            <v>NA</v>
          </cell>
          <cell r="R18" t="str">
            <v>NA</v>
          </cell>
          <cell r="S18" t="str">
            <v>NA</v>
          </cell>
          <cell r="T18">
            <v>0.84615384615384615</v>
          </cell>
        </row>
        <row r="19">
          <cell r="A19" t="str">
            <v>OPC</v>
          </cell>
          <cell r="B19" t="str">
            <v>BADEMAR</v>
          </cell>
          <cell r="C19" t="b">
            <v>1</v>
          </cell>
          <cell r="D19" t="b">
            <v>1</v>
          </cell>
          <cell r="E19" t="b">
            <v>1</v>
          </cell>
          <cell r="F19" t="b">
            <v>1</v>
          </cell>
          <cell r="G19" t="b">
            <v>1</v>
          </cell>
          <cell r="H19" t="b">
            <v>1</v>
          </cell>
          <cell r="I19" t="b">
            <v>1</v>
          </cell>
          <cell r="J19" t="b">
            <v>1</v>
          </cell>
          <cell r="K19" t="b">
            <v>1</v>
          </cell>
          <cell r="L19" t="b">
            <v>1</v>
          </cell>
          <cell r="M19" t="b">
            <v>1</v>
          </cell>
          <cell r="N19" t="b">
            <v>1</v>
          </cell>
          <cell r="O19" t="b">
            <v>1</v>
          </cell>
          <cell r="P19" t="b">
            <v>1</v>
          </cell>
          <cell r="Q19" t="b">
            <v>1</v>
          </cell>
          <cell r="R19" t="b">
            <v>1</v>
          </cell>
          <cell r="S19" t="b">
            <v>1</v>
          </cell>
          <cell r="T19">
            <v>1</v>
          </cell>
        </row>
        <row r="20">
          <cell r="A20" t="str">
            <v>OPC</v>
          </cell>
          <cell r="B20" t="str">
            <v>MONROY CARLOS</v>
          </cell>
          <cell r="C20" t="b">
            <v>1</v>
          </cell>
          <cell r="D20" t="b">
            <v>1</v>
          </cell>
          <cell r="E20" t="str">
            <v>NA</v>
          </cell>
          <cell r="F20" t="b">
            <v>1</v>
          </cell>
          <cell r="G20" t="str">
            <v>NA</v>
          </cell>
          <cell r="H20" t="b">
            <v>1</v>
          </cell>
          <cell r="I20" t="b">
            <v>1</v>
          </cell>
          <cell r="J20" t="b">
            <v>1</v>
          </cell>
          <cell r="K20" t="b">
            <v>1</v>
          </cell>
          <cell r="L20" t="b">
            <v>1</v>
          </cell>
          <cell r="M20" t="b">
            <v>1</v>
          </cell>
          <cell r="N20" t="b">
            <v>1</v>
          </cell>
          <cell r="O20" t="str">
            <v>NA</v>
          </cell>
          <cell r="P20" t="b">
            <v>1</v>
          </cell>
          <cell r="Q20" t="str">
            <v>NA</v>
          </cell>
          <cell r="R20" t="str">
            <v>NA</v>
          </cell>
          <cell r="S20" t="str">
            <v>NA</v>
          </cell>
          <cell r="T20">
            <v>1</v>
          </cell>
        </row>
        <row r="21">
          <cell r="A21" t="str">
            <v>OPC</v>
          </cell>
          <cell r="B21" t="str">
            <v>MOVINAUTILUS MM S.A.S.</v>
          </cell>
          <cell r="C21" t="b">
            <v>1</v>
          </cell>
          <cell r="D21" t="b">
            <v>1</v>
          </cell>
          <cell r="E21" t="b">
            <v>1</v>
          </cell>
          <cell r="F21" t="b">
            <v>1</v>
          </cell>
          <cell r="G21" t="b">
            <v>1</v>
          </cell>
          <cell r="H21" t="b">
            <v>1</v>
          </cell>
          <cell r="I21" t="b">
            <v>1</v>
          </cell>
          <cell r="J21" t="b">
            <v>1</v>
          </cell>
          <cell r="K21" t="b">
            <v>1</v>
          </cell>
          <cell r="L21" t="b">
            <v>1</v>
          </cell>
          <cell r="M21" t="b">
            <v>1</v>
          </cell>
          <cell r="N21" t="b">
            <v>1</v>
          </cell>
          <cell r="O21" t="b">
            <v>1</v>
          </cell>
          <cell r="P21" t="b">
            <v>1</v>
          </cell>
          <cell r="Q21" t="b">
            <v>1</v>
          </cell>
          <cell r="R21" t="b">
            <v>1</v>
          </cell>
          <cell r="S21" t="b">
            <v>1</v>
          </cell>
          <cell r="T21">
            <v>1</v>
          </cell>
        </row>
        <row r="22">
          <cell r="A22" t="str">
            <v>OPC</v>
          </cell>
          <cell r="B22" t="str">
            <v>PANOIL</v>
          </cell>
          <cell r="C22" t="b">
            <v>1</v>
          </cell>
          <cell r="D22" t="b">
            <v>1</v>
          </cell>
          <cell r="E22" t="b">
            <v>1</v>
          </cell>
          <cell r="F22" t="b">
            <v>1</v>
          </cell>
          <cell r="G22" t="b">
            <v>1</v>
          </cell>
          <cell r="H22" t="b">
            <v>1</v>
          </cell>
          <cell r="I22" t="b">
            <v>1</v>
          </cell>
          <cell r="J22" t="b">
            <v>1</v>
          </cell>
          <cell r="K22" t="b">
            <v>1</v>
          </cell>
          <cell r="L22" t="b">
            <v>1</v>
          </cell>
          <cell r="M22" t="b">
            <v>1</v>
          </cell>
          <cell r="N22" t="b">
            <v>1</v>
          </cell>
          <cell r="O22" t="str">
            <v>NA</v>
          </cell>
          <cell r="P22" t="b">
            <v>1</v>
          </cell>
          <cell r="Q22" t="b">
            <v>1</v>
          </cell>
          <cell r="R22" t="str">
            <v>NA</v>
          </cell>
          <cell r="S22" t="str">
            <v>NA</v>
          </cell>
          <cell r="T22">
            <v>1</v>
          </cell>
        </row>
        <row r="23">
          <cell r="A23" t="str">
            <v>OPC</v>
          </cell>
          <cell r="B23" t="str">
            <v>INMULSERV S.A.S.</v>
          </cell>
          <cell r="C23" t="b">
            <v>1</v>
          </cell>
          <cell r="D23" t="b">
            <v>1</v>
          </cell>
          <cell r="E23" t="b">
            <v>1</v>
          </cell>
          <cell r="F23" t="b">
            <v>1</v>
          </cell>
          <cell r="G23" t="b">
            <v>1</v>
          </cell>
          <cell r="H23" t="b">
            <v>1</v>
          </cell>
          <cell r="I23" t="b">
            <v>1</v>
          </cell>
          <cell r="J23" t="b">
            <v>1</v>
          </cell>
          <cell r="K23" t="b">
            <v>1</v>
          </cell>
          <cell r="L23" t="b">
            <v>1</v>
          </cell>
          <cell r="M23" t="b">
            <v>1</v>
          </cell>
          <cell r="N23" t="b">
            <v>1</v>
          </cell>
          <cell r="O23" t="b">
            <v>1</v>
          </cell>
          <cell r="P23" t="b">
            <v>1</v>
          </cell>
          <cell r="Q23" t="b">
            <v>1</v>
          </cell>
          <cell r="R23" t="str">
            <v>NA</v>
          </cell>
          <cell r="S23" t="str">
            <v>NA</v>
          </cell>
          <cell r="T23">
            <v>1</v>
          </cell>
        </row>
        <row r="24">
          <cell r="A24" t="str">
            <v>OPC</v>
          </cell>
          <cell r="B24" t="str">
            <v>ECUADORIAN</v>
          </cell>
          <cell r="C24" t="b">
            <v>1</v>
          </cell>
          <cell r="D24" t="b">
            <v>1</v>
          </cell>
          <cell r="E24" t="b">
            <v>1</v>
          </cell>
          <cell r="F24" t="b">
            <v>1</v>
          </cell>
          <cell r="G24" t="b">
            <v>1</v>
          </cell>
          <cell r="H24" t="b">
            <v>1</v>
          </cell>
          <cell r="I24" t="b">
            <v>1</v>
          </cell>
          <cell r="J24" t="b">
            <v>1</v>
          </cell>
          <cell r="K24" t="b">
            <v>1</v>
          </cell>
          <cell r="L24" t="b">
            <v>1</v>
          </cell>
          <cell r="M24" t="b">
            <v>1</v>
          </cell>
          <cell r="N24" t="str">
            <v>NA</v>
          </cell>
          <cell r="O24" t="str">
            <v>NA</v>
          </cell>
          <cell r="P24" t="b">
            <v>1</v>
          </cell>
          <cell r="Q24" t="b">
            <v>1</v>
          </cell>
          <cell r="R24" t="str">
            <v>NA</v>
          </cell>
          <cell r="S24" t="str">
            <v>NA</v>
          </cell>
          <cell r="T24">
            <v>1</v>
          </cell>
        </row>
      </sheetData>
      <sheetData sheetId="2">
        <row r="6">
          <cell r="A6" t="str">
            <v>SEG FISICA</v>
          </cell>
          <cell r="B6" t="str">
            <v>LIDERMAN</v>
          </cell>
          <cell r="C6" t="b">
            <v>1</v>
          </cell>
          <cell r="D6" t="b">
            <v>1</v>
          </cell>
          <cell r="E6" t="b">
            <v>1</v>
          </cell>
          <cell r="F6" t="b">
            <v>1</v>
          </cell>
          <cell r="G6" t="b">
            <v>1</v>
          </cell>
          <cell r="H6" t="b">
            <v>1</v>
          </cell>
          <cell r="I6" t="b">
            <v>1</v>
          </cell>
          <cell r="J6" t="b">
            <v>1</v>
          </cell>
          <cell r="K6" t="b">
            <v>0</v>
          </cell>
          <cell r="L6" t="b">
            <v>1</v>
          </cell>
          <cell r="M6" t="b">
            <v>1</v>
          </cell>
          <cell r="N6" t="str">
            <v>NA</v>
          </cell>
          <cell r="O6" t="b">
            <v>1</v>
          </cell>
          <cell r="P6" t="b">
            <v>0</v>
          </cell>
          <cell r="Q6" t="str">
            <v>NA</v>
          </cell>
          <cell r="R6" t="b">
            <v>1</v>
          </cell>
          <cell r="S6" t="b">
            <v>1</v>
          </cell>
          <cell r="T6">
            <v>0.8666666666666667</v>
          </cell>
        </row>
        <row r="7">
          <cell r="A7" t="str">
            <v>SEG FISICA</v>
          </cell>
          <cell r="B7" t="str">
            <v>ALEX OSWALDO</v>
          </cell>
          <cell r="C7" t="b">
            <v>1</v>
          </cell>
          <cell r="D7" t="str">
            <v>NA</v>
          </cell>
          <cell r="E7" t="str">
            <v>NA</v>
          </cell>
          <cell r="F7" t="b">
            <v>1</v>
          </cell>
          <cell r="G7" t="str">
            <v>NA</v>
          </cell>
          <cell r="H7" t="b">
            <v>1</v>
          </cell>
          <cell r="I7" t="b">
            <v>1</v>
          </cell>
          <cell r="J7" t="b">
            <v>1</v>
          </cell>
          <cell r="K7" t="b">
            <v>1</v>
          </cell>
          <cell r="L7" t="b">
            <v>1</v>
          </cell>
          <cell r="M7" t="b">
            <v>1</v>
          </cell>
          <cell r="N7" t="str">
            <v>NA</v>
          </cell>
          <cell r="O7" t="str">
            <v>NA</v>
          </cell>
          <cell r="P7" t="b">
            <v>1</v>
          </cell>
          <cell r="Q7" t="str">
            <v>NA</v>
          </cell>
          <cell r="R7" t="str">
            <v>NA</v>
          </cell>
          <cell r="S7" t="str">
            <v>NA</v>
          </cell>
          <cell r="T7">
            <v>1</v>
          </cell>
        </row>
        <row r="8">
          <cell r="A8" t="str">
            <v>SEG INDUS</v>
          </cell>
          <cell r="B8" t="str">
            <v>IPSOMARY</v>
          </cell>
          <cell r="C8" t="b">
            <v>1</v>
          </cell>
          <cell r="D8" t="str">
            <v>NA</v>
          </cell>
          <cell r="E8" t="b">
            <v>1</v>
          </cell>
          <cell r="F8" t="b">
            <v>1</v>
          </cell>
          <cell r="G8" t="b">
            <v>1</v>
          </cell>
          <cell r="H8" t="b">
            <v>1</v>
          </cell>
          <cell r="I8" t="b">
            <v>1</v>
          </cell>
          <cell r="J8" t="b">
            <v>1</v>
          </cell>
          <cell r="K8" t="b">
            <v>0</v>
          </cell>
          <cell r="L8" t="b">
            <v>1</v>
          </cell>
          <cell r="M8" t="b">
            <v>1</v>
          </cell>
          <cell r="N8" t="b">
            <v>1</v>
          </cell>
          <cell r="O8" t="str">
            <v>NA</v>
          </cell>
          <cell r="P8" t="b">
            <v>1</v>
          </cell>
          <cell r="Q8" t="str">
            <v>NA</v>
          </cell>
          <cell r="R8" t="str">
            <v>NA</v>
          </cell>
          <cell r="S8" t="str">
            <v>NA</v>
          </cell>
          <cell r="T8">
            <v>0.91666666666666663</v>
          </cell>
        </row>
        <row r="9">
          <cell r="A9" t="str">
            <v>SEG INDUS</v>
          </cell>
          <cell r="B9" t="str">
            <v>DOUTINO</v>
          </cell>
          <cell r="C9" t="b">
            <v>1</v>
          </cell>
          <cell r="D9" t="str">
            <v>NA</v>
          </cell>
          <cell r="E9" t="b">
            <v>1</v>
          </cell>
          <cell r="F9" t="b">
            <v>1</v>
          </cell>
          <cell r="G9" t="b">
            <v>1</v>
          </cell>
          <cell r="H9" t="b">
            <v>1</v>
          </cell>
          <cell r="I9" t="b">
            <v>1</v>
          </cell>
          <cell r="J9" t="b">
            <v>0</v>
          </cell>
          <cell r="K9" t="b">
            <v>1</v>
          </cell>
          <cell r="L9" t="b">
            <v>1</v>
          </cell>
          <cell r="M9" t="b">
            <v>1</v>
          </cell>
          <cell r="N9" t="str">
            <v>NA</v>
          </cell>
          <cell r="O9" t="str">
            <v>NA</v>
          </cell>
          <cell r="P9" t="b">
            <v>0</v>
          </cell>
          <cell r="Q9" t="str">
            <v>NA</v>
          </cell>
          <cell r="R9" t="str">
            <v>NA</v>
          </cell>
          <cell r="S9" t="str">
            <v>NA</v>
          </cell>
          <cell r="T9">
            <v>0.81818181818181823</v>
          </cell>
        </row>
        <row r="10">
          <cell r="A10" t="str">
            <v>SEG INDUS</v>
          </cell>
          <cell r="B10" t="str">
            <v>SEPRO</v>
          </cell>
          <cell r="C10" t="b">
            <v>1</v>
          </cell>
          <cell r="D10" t="str">
            <v>NA</v>
          </cell>
          <cell r="E10" t="str">
            <v>NA</v>
          </cell>
          <cell r="F10" t="b">
            <v>1</v>
          </cell>
          <cell r="G10" t="str">
            <v>NA</v>
          </cell>
          <cell r="H10" t="b">
            <v>1</v>
          </cell>
          <cell r="I10" t="b">
            <v>1</v>
          </cell>
          <cell r="J10" t="b">
            <v>1</v>
          </cell>
          <cell r="K10" t="b">
            <v>1</v>
          </cell>
          <cell r="L10" t="b">
            <v>1</v>
          </cell>
          <cell r="M10" t="b">
            <v>1</v>
          </cell>
          <cell r="N10" t="b">
            <v>1</v>
          </cell>
          <cell r="O10" t="str">
            <v>NA</v>
          </cell>
          <cell r="P10" t="b">
            <v>1</v>
          </cell>
          <cell r="Q10" t="str">
            <v>NA</v>
          </cell>
          <cell r="R10" t="str">
            <v>NA</v>
          </cell>
          <cell r="S10" t="str">
            <v>NA</v>
          </cell>
          <cell r="T10">
            <v>1</v>
          </cell>
        </row>
        <row r="11">
          <cell r="A11" t="str">
            <v>SEG INDUS</v>
          </cell>
          <cell r="B11" t="str">
            <v>EXTINFIRE</v>
          </cell>
          <cell r="C11" t="b">
            <v>1</v>
          </cell>
          <cell r="D11" t="str">
            <v>NA</v>
          </cell>
          <cell r="E11" t="b">
            <v>1</v>
          </cell>
          <cell r="F11" t="b">
            <v>1</v>
          </cell>
          <cell r="G11" t="b">
            <v>1</v>
          </cell>
          <cell r="H11" t="b">
            <v>1</v>
          </cell>
          <cell r="I11" t="b">
            <v>1</v>
          </cell>
          <cell r="J11" t="b">
            <v>1</v>
          </cell>
          <cell r="K11" t="b">
            <v>1</v>
          </cell>
          <cell r="L11" t="b">
            <v>1</v>
          </cell>
          <cell r="M11" t="b">
            <v>1</v>
          </cell>
          <cell r="N11" t="str">
            <v>NA</v>
          </cell>
          <cell r="O11" t="str">
            <v>NA</v>
          </cell>
          <cell r="P11" t="b">
            <v>1</v>
          </cell>
          <cell r="Q11" t="str">
            <v>NA</v>
          </cell>
          <cell r="R11" t="str">
            <v>NA</v>
          </cell>
          <cell r="S11" t="str">
            <v>NA</v>
          </cell>
          <cell r="T11">
            <v>1</v>
          </cell>
        </row>
        <row r="12">
          <cell r="A12" t="str">
            <v>SEG INDUS</v>
          </cell>
          <cell r="B12" t="str">
            <v>RIZOBACTER</v>
          </cell>
          <cell r="C12" t="b">
            <v>1</v>
          </cell>
          <cell r="D12" t="str">
            <v>NA</v>
          </cell>
          <cell r="E12" t="b">
            <v>1</v>
          </cell>
          <cell r="F12" t="b">
            <v>1</v>
          </cell>
          <cell r="G12" t="b">
            <v>1</v>
          </cell>
          <cell r="H12" t="b">
            <v>1</v>
          </cell>
          <cell r="I12" t="b">
            <v>1</v>
          </cell>
          <cell r="J12" t="b">
            <v>1</v>
          </cell>
          <cell r="K12" t="b">
            <v>0</v>
          </cell>
          <cell r="L12" t="b">
            <v>1</v>
          </cell>
          <cell r="M12" t="b">
            <v>1</v>
          </cell>
          <cell r="N12" t="b">
            <v>1</v>
          </cell>
          <cell r="O12" t="str">
            <v>NA</v>
          </cell>
          <cell r="P12" t="b">
            <v>1</v>
          </cell>
          <cell r="Q12" t="str">
            <v>NA</v>
          </cell>
          <cell r="R12" t="str">
            <v>NA</v>
          </cell>
          <cell r="S12" t="str">
            <v>NA</v>
          </cell>
          <cell r="T12">
            <v>0.91666666666666663</v>
          </cell>
        </row>
        <row r="13">
          <cell r="A13" t="str">
            <v>RRHH</v>
          </cell>
          <cell r="B13" t="str">
            <v>CHEFSERVICE</v>
          </cell>
          <cell r="C13" t="b">
            <v>1</v>
          </cell>
          <cell r="D13" t="str">
            <v>NA</v>
          </cell>
          <cell r="E13" t="b">
            <v>1</v>
          </cell>
          <cell r="F13" t="b">
            <v>1</v>
          </cell>
          <cell r="G13" t="b">
            <v>1</v>
          </cell>
          <cell r="H13" t="b">
            <v>1</v>
          </cell>
          <cell r="I13" t="b">
            <v>1</v>
          </cell>
          <cell r="J13" t="b">
            <v>1</v>
          </cell>
          <cell r="K13" t="b">
            <v>0</v>
          </cell>
          <cell r="L13" t="b">
            <v>1</v>
          </cell>
          <cell r="M13" t="b">
            <v>1</v>
          </cell>
          <cell r="N13" t="str">
            <v>NA</v>
          </cell>
          <cell r="O13" t="str">
            <v>NA</v>
          </cell>
          <cell r="P13" t="b">
            <v>1</v>
          </cell>
          <cell r="Q13" t="str">
            <v>NA</v>
          </cell>
          <cell r="R13" t="str">
            <v>NA</v>
          </cell>
          <cell r="S13" t="str">
            <v>NA</v>
          </cell>
          <cell r="T13">
            <v>0.90909090909090906</v>
          </cell>
        </row>
        <row r="14">
          <cell r="A14" t="str">
            <v>RRHH</v>
          </cell>
          <cell r="B14" t="str">
            <v>INTEGRAL GROUP</v>
          </cell>
          <cell r="C14" t="b">
            <v>1</v>
          </cell>
          <cell r="D14" t="str">
            <v>NA</v>
          </cell>
          <cell r="E14" t="b">
            <v>1</v>
          </cell>
          <cell r="F14" t="b">
            <v>1</v>
          </cell>
          <cell r="G14" t="b">
            <v>1</v>
          </cell>
          <cell r="H14" t="b">
            <v>1</v>
          </cell>
          <cell r="I14" t="b">
            <v>1</v>
          </cell>
          <cell r="J14" t="b">
            <v>1</v>
          </cell>
          <cell r="K14" t="b">
            <v>0</v>
          </cell>
          <cell r="L14" t="b">
            <v>1</v>
          </cell>
          <cell r="M14" t="b">
            <v>1</v>
          </cell>
          <cell r="N14" t="str">
            <v>NA</v>
          </cell>
          <cell r="O14" t="str">
            <v>NA</v>
          </cell>
          <cell r="P14" t="b">
            <v>1</v>
          </cell>
          <cell r="Q14" t="str">
            <v>NA</v>
          </cell>
          <cell r="R14" t="str">
            <v>NA</v>
          </cell>
          <cell r="S14" t="str">
            <v>NA</v>
          </cell>
          <cell r="T14">
            <v>0.90909090909090906</v>
          </cell>
        </row>
        <row r="15">
          <cell r="A15" t="str">
            <v>RRHH</v>
          </cell>
          <cell r="B15" t="str">
            <v>BIOLABORATORIO</v>
          </cell>
          <cell r="C15" t="b">
            <v>0</v>
          </cell>
          <cell r="D15" t="str">
            <v>NA</v>
          </cell>
          <cell r="E15" t="b">
            <v>1</v>
          </cell>
          <cell r="F15" t="b">
            <v>0</v>
          </cell>
          <cell r="G15" t="b">
            <v>1</v>
          </cell>
          <cell r="H15" t="b">
            <v>1</v>
          </cell>
          <cell r="I15" t="b">
            <v>1</v>
          </cell>
          <cell r="J15" t="str">
            <v>NA</v>
          </cell>
          <cell r="K15" t="b">
            <v>1</v>
          </cell>
          <cell r="L15" t="b">
            <v>1</v>
          </cell>
          <cell r="M15" t="b">
            <v>1</v>
          </cell>
          <cell r="N15" t="str">
            <v>NA</v>
          </cell>
          <cell r="O15" t="str">
            <v>NA</v>
          </cell>
          <cell r="P15" t="b">
            <v>1</v>
          </cell>
          <cell r="Q15" t="str">
            <v>NA</v>
          </cell>
          <cell r="R15" t="str">
            <v>NA</v>
          </cell>
          <cell r="S15" t="str">
            <v>NA</v>
          </cell>
          <cell r="T15">
            <v>0.8</v>
          </cell>
        </row>
        <row r="16">
          <cell r="A16" t="str">
            <v>RRHH</v>
          </cell>
          <cell r="B16" t="str">
            <v>LADINES  JAQUELINE</v>
          </cell>
          <cell r="C16" t="b">
            <v>1</v>
          </cell>
          <cell r="D16" t="str">
            <v>NA</v>
          </cell>
          <cell r="E16" t="str">
            <v>NA</v>
          </cell>
          <cell r="F16" t="b">
            <v>1</v>
          </cell>
          <cell r="G16" t="str">
            <v>NA</v>
          </cell>
          <cell r="H16" t="b">
            <v>1</v>
          </cell>
          <cell r="I16" t="b">
            <v>1</v>
          </cell>
          <cell r="J16" t="b">
            <v>0</v>
          </cell>
          <cell r="K16" t="b">
            <v>1</v>
          </cell>
          <cell r="L16" t="b">
            <v>1</v>
          </cell>
          <cell r="M16" t="b">
            <v>1</v>
          </cell>
          <cell r="N16" t="str">
            <v>NA</v>
          </cell>
          <cell r="O16" t="str">
            <v>NA</v>
          </cell>
          <cell r="P16" t="b">
            <v>0</v>
          </cell>
          <cell r="Q16" t="str">
            <v>NA</v>
          </cell>
          <cell r="R16" t="str">
            <v>NA</v>
          </cell>
          <cell r="S16" t="str">
            <v>NA</v>
          </cell>
          <cell r="T16">
            <v>0.77777777777777779</v>
          </cell>
        </row>
        <row r="17">
          <cell r="A17" t="str">
            <v>RRHH</v>
          </cell>
          <cell r="B17" t="str">
            <v>YUQUI KEVIN</v>
          </cell>
          <cell r="C17" t="b">
            <v>1</v>
          </cell>
          <cell r="D17" t="str">
            <v>NA</v>
          </cell>
          <cell r="E17" t="str">
            <v>NA</v>
          </cell>
          <cell r="F17" t="b">
            <v>1</v>
          </cell>
          <cell r="G17" t="str">
            <v>NA</v>
          </cell>
          <cell r="H17" t="b">
            <v>0</v>
          </cell>
          <cell r="I17" t="b">
            <v>0</v>
          </cell>
          <cell r="J17" t="b">
            <v>0</v>
          </cell>
          <cell r="K17" t="b">
            <v>1</v>
          </cell>
          <cell r="L17" t="b">
            <v>1</v>
          </cell>
          <cell r="M17" t="b">
            <v>1</v>
          </cell>
          <cell r="N17" t="str">
            <v>NA</v>
          </cell>
          <cell r="O17" t="str">
            <v>NA</v>
          </cell>
          <cell r="P17" t="b">
            <v>0</v>
          </cell>
          <cell r="Q17" t="str">
            <v>NA</v>
          </cell>
          <cell r="R17" t="str">
            <v>NA</v>
          </cell>
          <cell r="S17" t="str">
            <v>NA</v>
          </cell>
          <cell r="T17">
            <v>0.55555555555555558</v>
          </cell>
        </row>
        <row r="18">
          <cell r="A18" t="str">
            <v>RRHH</v>
          </cell>
          <cell r="B18" t="str">
            <v>GUERRERO CAROL</v>
          </cell>
          <cell r="C18" t="b">
            <v>1</v>
          </cell>
          <cell r="D18" t="str">
            <v>NA</v>
          </cell>
          <cell r="E18" t="str">
            <v>NA</v>
          </cell>
          <cell r="F18" t="b">
            <v>1</v>
          </cell>
          <cell r="G18" t="str">
            <v>NA</v>
          </cell>
          <cell r="H18" t="b">
            <v>0</v>
          </cell>
          <cell r="I18" t="b">
            <v>1</v>
          </cell>
          <cell r="J18" t="b">
            <v>1</v>
          </cell>
          <cell r="K18" t="b">
            <v>1</v>
          </cell>
          <cell r="L18" t="b">
            <v>1</v>
          </cell>
          <cell r="M18" t="b">
            <v>1</v>
          </cell>
          <cell r="N18" t="str">
            <v>NA</v>
          </cell>
          <cell r="O18" t="str">
            <v>NA</v>
          </cell>
          <cell r="P18" t="b">
            <v>1</v>
          </cell>
          <cell r="Q18" t="str">
            <v>NA</v>
          </cell>
          <cell r="R18" t="str">
            <v>NA</v>
          </cell>
          <cell r="S18" t="str">
            <v>NA</v>
          </cell>
          <cell r="T18">
            <v>0.88888888888888884</v>
          </cell>
        </row>
        <row r="19">
          <cell r="A19" t="str">
            <v>RRHH</v>
          </cell>
          <cell r="B19" t="str">
            <v>MURILLO RENE</v>
          </cell>
          <cell r="C19" t="b">
            <v>1</v>
          </cell>
          <cell r="D19" t="str">
            <v>NA</v>
          </cell>
          <cell r="E19" t="str">
            <v>NA</v>
          </cell>
          <cell r="F19" t="b">
            <v>1</v>
          </cell>
          <cell r="G19" t="str">
            <v>NA</v>
          </cell>
          <cell r="H19" t="b">
            <v>0</v>
          </cell>
          <cell r="I19" t="b">
            <v>1</v>
          </cell>
          <cell r="J19" t="b">
            <v>1</v>
          </cell>
          <cell r="K19" t="b">
            <v>1</v>
          </cell>
          <cell r="L19" t="b">
            <v>1</v>
          </cell>
          <cell r="M19" t="b">
            <v>1</v>
          </cell>
          <cell r="N19" t="str">
            <v>NA</v>
          </cell>
          <cell r="O19" t="str">
            <v>NA</v>
          </cell>
          <cell r="P19" t="b">
            <v>1</v>
          </cell>
          <cell r="Q19" t="str">
            <v>NA</v>
          </cell>
          <cell r="R19" t="str">
            <v>NA</v>
          </cell>
          <cell r="S19" t="str">
            <v>NA</v>
          </cell>
          <cell r="T19">
            <v>0.88888888888888884</v>
          </cell>
        </row>
        <row r="20">
          <cell r="A20" t="str">
            <v>TI</v>
          </cell>
          <cell r="B20" t="str">
            <v>SERPROIM</v>
          </cell>
          <cell r="C20" t="b">
            <v>1</v>
          </cell>
          <cell r="D20" t="str">
            <v>NA</v>
          </cell>
          <cell r="E20" t="b">
            <v>1</v>
          </cell>
          <cell r="F20" t="b">
            <v>1</v>
          </cell>
          <cell r="G20" t="b">
            <v>1</v>
          </cell>
          <cell r="H20" t="b">
            <v>1</v>
          </cell>
          <cell r="I20" t="b">
            <v>1</v>
          </cell>
          <cell r="J20" t="b">
            <v>1</v>
          </cell>
          <cell r="K20" t="b">
            <v>1</v>
          </cell>
          <cell r="L20" t="b">
            <v>1</v>
          </cell>
          <cell r="M20" t="b">
            <v>1</v>
          </cell>
          <cell r="N20" t="str">
            <v>NA</v>
          </cell>
          <cell r="O20" t="str">
            <v>NA</v>
          </cell>
          <cell r="P20" t="b">
            <v>1</v>
          </cell>
          <cell r="Q20" t="str">
            <v>NA</v>
          </cell>
          <cell r="R20" t="str">
            <v>NA</v>
          </cell>
          <cell r="S20" t="str">
            <v>NA</v>
          </cell>
          <cell r="T20">
            <v>1</v>
          </cell>
        </row>
        <row r="21">
          <cell r="A21" t="str">
            <v>TI</v>
          </cell>
          <cell r="B21" t="str">
            <v>SEGUDATOS</v>
          </cell>
          <cell r="C21" t="b">
            <v>1</v>
          </cell>
          <cell r="D21" t="str">
            <v>NA</v>
          </cell>
          <cell r="E21" t="b">
            <v>1</v>
          </cell>
          <cell r="F21" t="b">
            <v>1</v>
          </cell>
          <cell r="G21" t="b">
            <v>1</v>
          </cell>
          <cell r="H21" t="b">
            <v>1</v>
          </cell>
          <cell r="I21" t="b">
            <v>1</v>
          </cell>
          <cell r="J21" t="b">
            <v>1</v>
          </cell>
          <cell r="K21" t="b">
            <v>0</v>
          </cell>
          <cell r="L21" t="b">
            <v>1</v>
          </cell>
          <cell r="M21" t="b">
            <v>1</v>
          </cell>
          <cell r="N21" t="str">
            <v>NA</v>
          </cell>
          <cell r="O21" t="str">
            <v>NA</v>
          </cell>
          <cell r="P21" t="b">
            <v>1</v>
          </cell>
          <cell r="Q21" t="str">
            <v>NA</v>
          </cell>
          <cell r="R21" t="str">
            <v>NA</v>
          </cell>
          <cell r="S21" t="str">
            <v>NA</v>
          </cell>
          <cell r="T21">
            <v>0.90909090909090906</v>
          </cell>
        </row>
        <row r="22">
          <cell r="A22" t="str">
            <v>TI</v>
          </cell>
          <cell r="B22" t="str">
            <v>BINARIA</v>
          </cell>
          <cell r="C22" t="b">
            <v>1</v>
          </cell>
          <cell r="D22" t="str">
            <v>NA</v>
          </cell>
          <cell r="E22" t="b">
            <v>1</v>
          </cell>
          <cell r="F22" t="b">
            <v>1</v>
          </cell>
          <cell r="G22" t="b">
            <v>1</v>
          </cell>
          <cell r="H22" t="b">
            <v>1</v>
          </cell>
          <cell r="I22" t="b">
            <v>1</v>
          </cell>
          <cell r="J22" t="b">
            <v>1</v>
          </cell>
          <cell r="K22" t="b">
            <v>0</v>
          </cell>
          <cell r="L22" t="b">
            <v>1</v>
          </cell>
          <cell r="M22" t="b">
            <v>1</v>
          </cell>
          <cell r="N22" t="str">
            <v>NA</v>
          </cell>
          <cell r="O22" t="str">
            <v>NA</v>
          </cell>
          <cell r="P22" t="b">
            <v>1</v>
          </cell>
          <cell r="Q22" t="str">
            <v>NA</v>
          </cell>
          <cell r="R22" t="str">
            <v>NA</v>
          </cell>
          <cell r="S22" t="str">
            <v>NA</v>
          </cell>
          <cell r="T22">
            <v>0.90909090909090906</v>
          </cell>
        </row>
        <row r="23">
          <cell r="A23" t="str">
            <v>TI</v>
          </cell>
          <cell r="B23" t="str">
            <v>EDITY</v>
          </cell>
          <cell r="C23" t="b">
            <v>1</v>
          </cell>
          <cell r="D23" t="str">
            <v>NA</v>
          </cell>
          <cell r="E23" t="b">
            <v>1</v>
          </cell>
          <cell r="F23" t="b">
            <v>1</v>
          </cell>
          <cell r="G23" t="b">
            <v>1</v>
          </cell>
          <cell r="H23" t="b">
            <v>1</v>
          </cell>
          <cell r="I23" t="b">
            <v>0</v>
          </cell>
          <cell r="J23" t="b">
            <v>1</v>
          </cell>
          <cell r="K23" t="b">
            <v>0</v>
          </cell>
          <cell r="L23" t="b">
            <v>1</v>
          </cell>
          <cell r="M23" t="b">
            <v>1</v>
          </cell>
          <cell r="N23" t="str">
            <v>NA</v>
          </cell>
          <cell r="O23" t="str">
            <v>NA</v>
          </cell>
          <cell r="P23" t="b">
            <v>1</v>
          </cell>
          <cell r="Q23" t="str">
            <v>NA</v>
          </cell>
          <cell r="R23" t="str">
            <v>NA</v>
          </cell>
          <cell r="S23" t="str">
            <v>NA</v>
          </cell>
          <cell r="T23">
            <v>0.81818181818181823</v>
          </cell>
        </row>
        <row r="24">
          <cell r="A24" t="str">
            <v>RRHH</v>
          </cell>
          <cell r="B24" t="str">
            <v>LUNAEXPRESS</v>
          </cell>
          <cell r="C24" t="b">
            <v>1</v>
          </cell>
          <cell r="D24" t="str">
            <v>NA</v>
          </cell>
          <cell r="E24" t="b">
            <v>1</v>
          </cell>
          <cell r="F24" t="b">
            <v>1</v>
          </cell>
          <cell r="G24" t="b">
            <v>1</v>
          </cell>
          <cell r="H24" t="b">
            <v>1</v>
          </cell>
          <cell r="I24" t="b">
            <v>1</v>
          </cell>
          <cell r="J24" t="b">
            <v>1</v>
          </cell>
          <cell r="K24" t="b">
            <v>1</v>
          </cell>
          <cell r="L24" t="b">
            <v>0</v>
          </cell>
          <cell r="M24" t="b">
            <v>0</v>
          </cell>
          <cell r="N24" t="str">
            <v>NA</v>
          </cell>
          <cell r="O24" t="str">
            <v>NA</v>
          </cell>
          <cell r="P24" t="b">
            <v>1</v>
          </cell>
          <cell r="Q24" t="str">
            <v>NA</v>
          </cell>
          <cell r="R24" t="str">
            <v>NA</v>
          </cell>
          <cell r="S24" t="str">
            <v>NA</v>
          </cell>
          <cell r="T24">
            <v>0.81818181818181823</v>
          </cell>
        </row>
        <row r="25">
          <cell r="A25" t="str">
            <v>ADM</v>
          </cell>
          <cell r="B25" t="str">
            <v>ESPECTACULOS Y FERIAS DEL PACIFICO S.A.</v>
          </cell>
          <cell r="C25" t="b">
            <v>1</v>
          </cell>
          <cell r="D25" t="str">
            <v>NA</v>
          </cell>
          <cell r="E25" t="b">
            <v>1</v>
          </cell>
          <cell r="F25" t="b">
            <v>1</v>
          </cell>
          <cell r="G25" t="b">
            <v>1</v>
          </cell>
          <cell r="H25" t="b">
            <v>1</v>
          </cell>
          <cell r="I25" t="b">
            <v>1</v>
          </cell>
          <cell r="J25" t="str">
            <v>NA</v>
          </cell>
          <cell r="K25" t="b">
            <v>0</v>
          </cell>
          <cell r="L25" t="b">
            <v>1</v>
          </cell>
          <cell r="M25" t="b">
            <v>0</v>
          </cell>
          <cell r="N25" t="str">
            <v>NA</v>
          </cell>
          <cell r="O25" t="str">
            <v>NA</v>
          </cell>
          <cell r="P25" t="b">
            <v>1</v>
          </cell>
          <cell r="Q25" t="str">
            <v>NA</v>
          </cell>
          <cell r="R25" t="str">
            <v>NA</v>
          </cell>
          <cell r="S25" t="str">
            <v>NA</v>
          </cell>
          <cell r="T25">
            <v>0.8</v>
          </cell>
        </row>
        <row r="26">
          <cell r="A26" t="str">
            <v>ADM</v>
          </cell>
          <cell r="B26" t="str">
            <v>PIPE REHAB</v>
          </cell>
          <cell r="C26" t="b">
            <v>1</v>
          </cell>
          <cell r="D26" t="str">
            <v>NA</v>
          </cell>
          <cell r="E26" t="b">
            <v>1</v>
          </cell>
          <cell r="F26" t="b">
            <v>1</v>
          </cell>
          <cell r="G26" t="b">
            <v>1</v>
          </cell>
          <cell r="H26" t="b">
            <v>1</v>
          </cell>
          <cell r="I26" t="b">
            <v>1</v>
          </cell>
          <cell r="J26" t="b">
            <v>1</v>
          </cell>
          <cell r="K26" t="b">
            <v>1</v>
          </cell>
          <cell r="L26" t="b">
            <v>1</v>
          </cell>
          <cell r="M26" t="b">
            <v>1</v>
          </cell>
          <cell r="N26" t="str">
            <v>NA</v>
          </cell>
          <cell r="O26" t="str">
            <v>NA</v>
          </cell>
          <cell r="P26" t="b">
            <v>1</v>
          </cell>
          <cell r="Q26" t="str">
            <v>NA</v>
          </cell>
          <cell r="R26" t="str">
            <v>NA</v>
          </cell>
          <cell r="S26" t="str">
            <v>NA</v>
          </cell>
          <cell r="T26">
            <v>1</v>
          </cell>
        </row>
        <row r="27">
          <cell r="A27" t="str">
            <v>ADM</v>
          </cell>
          <cell r="B27" t="str">
            <v>GRUPOAQUA S.A.</v>
          </cell>
          <cell r="C27" t="b">
            <v>1</v>
          </cell>
          <cell r="D27" t="str">
            <v>NA</v>
          </cell>
          <cell r="E27" t="b">
            <v>1</v>
          </cell>
          <cell r="F27" t="b">
            <v>1</v>
          </cell>
          <cell r="G27" t="b">
            <v>1</v>
          </cell>
          <cell r="H27" t="b">
            <v>1</v>
          </cell>
          <cell r="I27" t="b">
            <v>1</v>
          </cell>
          <cell r="J27" t="b">
            <v>1</v>
          </cell>
          <cell r="K27" t="b">
            <v>0</v>
          </cell>
          <cell r="L27" t="b">
            <v>1</v>
          </cell>
          <cell r="M27" t="b">
            <v>1</v>
          </cell>
          <cell r="N27" t="str">
            <v>NA</v>
          </cell>
          <cell r="O27" t="str">
            <v>NA</v>
          </cell>
          <cell r="P27" t="b">
            <v>1</v>
          </cell>
          <cell r="Q27" t="str">
            <v>NA</v>
          </cell>
          <cell r="R27" t="str">
            <v>NA</v>
          </cell>
          <cell r="S27" t="str">
            <v>NA</v>
          </cell>
          <cell r="T27">
            <v>0.90909090909090906</v>
          </cell>
        </row>
        <row r="28">
          <cell r="A28" t="str">
            <v>ADM</v>
          </cell>
          <cell r="B28" t="str">
            <v>CLEANSTAR</v>
          </cell>
          <cell r="C28" t="b">
            <v>1</v>
          </cell>
          <cell r="D28" t="str">
            <v>NA</v>
          </cell>
          <cell r="E28" t="b">
            <v>1</v>
          </cell>
          <cell r="F28" t="b">
            <v>1</v>
          </cell>
          <cell r="G28" t="b">
            <v>1</v>
          </cell>
          <cell r="H28" t="b">
            <v>1</v>
          </cell>
          <cell r="I28" t="b">
            <v>1</v>
          </cell>
          <cell r="J28" t="b">
            <v>1</v>
          </cell>
          <cell r="K28" t="b">
            <v>1</v>
          </cell>
          <cell r="L28" t="b">
            <v>1</v>
          </cell>
          <cell r="M28" t="b">
            <v>1</v>
          </cell>
          <cell r="N28" t="b">
            <v>1</v>
          </cell>
          <cell r="O28" t="b">
            <v>0</v>
          </cell>
          <cell r="P28" t="b">
            <v>1</v>
          </cell>
          <cell r="Q28" t="str">
            <v>NA</v>
          </cell>
          <cell r="R28" t="b">
            <v>1</v>
          </cell>
          <cell r="S28" t="b">
            <v>0</v>
          </cell>
          <cell r="T28">
            <v>0.8125</v>
          </cell>
        </row>
        <row r="29">
          <cell r="A29" t="str">
            <v>ADM</v>
          </cell>
          <cell r="B29" t="str">
            <v>DOMINGUEZ VARGAS</v>
          </cell>
          <cell r="C29" t="b">
            <v>1</v>
          </cell>
          <cell r="D29" t="str">
            <v>NA</v>
          </cell>
          <cell r="E29" t="str">
            <v>NA</v>
          </cell>
          <cell r="F29" t="b">
            <v>1</v>
          </cell>
          <cell r="G29" t="str">
            <v>NA</v>
          </cell>
          <cell r="H29" t="b">
            <v>1</v>
          </cell>
          <cell r="I29" t="b">
            <v>1</v>
          </cell>
          <cell r="J29" t="b">
            <v>1</v>
          </cell>
          <cell r="K29" t="b">
            <v>1</v>
          </cell>
          <cell r="L29" t="b">
            <v>1</v>
          </cell>
          <cell r="M29" t="b">
            <v>1</v>
          </cell>
          <cell r="N29" t="str">
            <v>NA</v>
          </cell>
          <cell r="O29" t="str">
            <v>NA</v>
          </cell>
          <cell r="P29" t="b">
            <v>1</v>
          </cell>
          <cell r="Q29" t="str">
            <v>NA</v>
          </cell>
          <cell r="R29" t="str">
            <v>NA</v>
          </cell>
          <cell r="S29" t="str">
            <v>NA</v>
          </cell>
          <cell r="T29">
            <v>1</v>
          </cell>
        </row>
        <row r="30">
          <cell r="A30" t="str">
            <v>ADM</v>
          </cell>
          <cell r="B30" t="str">
            <v>SERVIMALDONADO</v>
          </cell>
          <cell r="C30" t="b">
            <v>1</v>
          </cell>
          <cell r="D30" t="str">
            <v>NA</v>
          </cell>
          <cell r="E30" t="b">
            <v>1</v>
          </cell>
          <cell r="F30" t="b">
            <v>1</v>
          </cell>
          <cell r="G30" t="b">
            <v>1</v>
          </cell>
          <cell r="H30" t="b">
            <v>1</v>
          </cell>
          <cell r="I30" t="b">
            <v>1</v>
          </cell>
          <cell r="J30" t="b">
            <v>1</v>
          </cell>
          <cell r="K30" t="b">
            <v>1</v>
          </cell>
          <cell r="L30" t="b">
            <v>1</v>
          </cell>
          <cell r="M30" t="b">
            <v>1</v>
          </cell>
          <cell r="N30" t="b">
            <v>1</v>
          </cell>
          <cell r="O30" t="str">
            <v>NA</v>
          </cell>
          <cell r="P30" t="b">
            <v>1</v>
          </cell>
          <cell r="Q30" t="str">
            <v>NA</v>
          </cell>
          <cell r="R30" t="str">
            <v>NA</v>
          </cell>
          <cell r="S30" t="b">
            <v>1</v>
          </cell>
          <cell r="T30">
            <v>1</v>
          </cell>
        </row>
        <row r="31">
          <cell r="A31" t="str">
            <v>ADM</v>
          </cell>
          <cell r="B31" t="str">
            <v>SERVICAREN</v>
          </cell>
          <cell r="C31" t="b">
            <v>1</v>
          </cell>
          <cell r="D31" t="str">
            <v>NA</v>
          </cell>
          <cell r="E31" t="b">
            <v>1</v>
          </cell>
          <cell r="F31" t="b">
            <v>1</v>
          </cell>
          <cell r="G31" t="b">
            <v>1</v>
          </cell>
          <cell r="H31" t="b">
            <v>1</v>
          </cell>
          <cell r="I31" t="b">
            <v>1</v>
          </cell>
          <cell r="J31" t="b">
            <v>0</v>
          </cell>
          <cell r="K31" t="b">
            <v>1</v>
          </cell>
          <cell r="L31" t="b">
            <v>1</v>
          </cell>
          <cell r="M31" t="b">
            <v>1</v>
          </cell>
          <cell r="N31" t="b">
            <v>1</v>
          </cell>
          <cell r="O31" t="str">
            <v>NA</v>
          </cell>
          <cell r="P31" t="b">
            <v>1</v>
          </cell>
          <cell r="Q31" t="str">
            <v>NA</v>
          </cell>
          <cell r="R31" t="str">
            <v>NA</v>
          </cell>
          <cell r="S31" t="str">
            <v>NA</v>
          </cell>
          <cell r="T31">
            <v>1</v>
          </cell>
        </row>
        <row r="32">
          <cell r="A32" t="str">
            <v>ADM</v>
          </cell>
          <cell r="B32" t="str">
            <v>JORGE VILLALTA</v>
          </cell>
          <cell r="C32" t="b">
            <v>1</v>
          </cell>
          <cell r="D32" t="str">
            <v>NA</v>
          </cell>
          <cell r="E32" t="str">
            <v>NA</v>
          </cell>
          <cell r="F32" t="b">
            <v>1</v>
          </cell>
          <cell r="G32" t="str">
            <v>NA</v>
          </cell>
          <cell r="H32" t="b">
            <v>1</v>
          </cell>
          <cell r="I32" t="b">
            <v>1</v>
          </cell>
          <cell r="J32" t="b">
            <v>1</v>
          </cell>
          <cell r="K32" t="b">
            <v>1</v>
          </cell>
          <cell r="L32" t="b">
            <v>0</v>
          </cell>
          <cell r="M32" t="b">
            <v>1</v>
          </cell>
          <cell r="N32" t="str">
            <v>NA</v>
          </cell>
          <cell r="O32" t="str">
            <v>NA</v>
          </cell>
          <cell r="P32" t="b">
            <v>1</v>
          </cell>
          <cell r="Q32" t="str">
            <v>NA</v>
          </cell>
          <cell r="R32" t="str">
            <v>NA</v>
          </cell>
          <cell r="S32" t="str">
            <v>NA</v>
          </cell>
          <cell r="T32">
            <v>0.88888888888888884</v>
          </cell>
        </row>
        <row r="33">
          <cell r="A33" t="str">
            <v>ADM</v>
          </cell>
          <cell r="B33" t="str">
            <v>DIMC</v>
          </cell>
          <cell r="C33" t="b">
            <v>1</v>
          </cell>
          <cell r="D33" t="str">
            <v>NA</v>
          </cell>
          <cell r="E33" t="b">
            <v>1</v>
          </cell>
          <cell r="F33" t="b">
            <v>1</v>
          </cell>
          <cell r="G33" t="b">
            <v>1</v>
          </cell>
          <cell r="H33" t="b">
            <v>1</v>
          </cell>
          <cell r="I33" t="b">
            <v>1</v>
          </cell>
          <cell r="J33" t="b">
            <v>1</v>
          </cell>
          <cell r="K33" t="b">
            <v>1</v>
          </cell>
          <cell r="L33" t="b">
            <v>1</v>
          </cell>
          <cell r="M33" t="b">
            <v>1</v>
          </cell>
          <cell r="N33" t="str">
            <v>NA</v>
          </cell>
          <cell r="O33" t="str">
            <v>NA</v>
          </cell>
          <cell r="P33" t="b">
            <v>1</v>
          </cell>
          <cell r="Q33" t="str">
            <v>NA</v>
          </cell>
          <cell r="R33" t="str">
            <v>NA</v>
          </cell>
          <cell r="S33" t="str">
            <v>NA</v>
          </cell>
          <cell r="T33">
            <v>1</v>
          </cell>
        </row>
        <row r="35">
          <cell r="A35" t="str">
            <v>OBRA CIVIL</v>
          </cell>
          <cell r="B35" t="str">
            <v>ZALICO</v>
          </cell>
          <cell r="C35" t="b">
            <v>1</v>
          </cell>
          <cell r="D35" t="str">
            <v>NA</v>
          </cell>
          <cell r="E35" t="b">
            <v>1</v>
          </cell>
          <cell r="F35" t="b">
            <v>1</v>
          </cell>
          <cell r="G35" t="b">
            <v>1</v>
          </cell>
          <cell r="H35" t="b">
            <v>1</v>
          </cell>
          <cell r="I35" t="b">
            <v>1</v>
          </cell>
          <cell r="J35" t="b">
            <v>1</v>
          </cell>
          <cell r="K35" t="b">
            <v>1</v>
          </cell>
          <cell r="L35" t="b">
            <v>1</v>
          </cell>
          <cell r="M35" t="b">
            <v>1</v>
          </cell>
          <cell r="N35" t="b">
            <v>1</v>
          </cell>
          <cell r="O35" t="b">
            <v>1</v>
          </cell>
          <cell r="P35" t="b">
            <v>1</v>
          </cell>
          <cell r="Q35" t="str">
            <v>NA</v>
          </cell>
          <cell r="R35" t="b">
            <v>1</v>
          </cell>
          <cell r="S35" t="b">
            <v>1</v>
          </cell>
          <cell r="T35">
            <v>1</v>
          </cell>
        </row>
        <row r="36">
          <cell r="A36" t="str">
            <v>OBRA CIVIL</v>
          </cell>
          <cell r="B36" t="str">
            <v>NELLY DEL CARMEN</v>
          </cell>
          <cell r="C36" t="b">
            <v>1</v>
          </cell>
          <cell r="D36" t="b">
            <v>1</v>
          </cell>
          <cell r="E36" t="str">
            <v>NA</v>
          </cell>
          <cell r="F36" t="b">
            <v>1</v>
          </cell>
          <cell r="G36" t="str">
            <v>NA</v>
          </cell>
          <cell r="H36" t="b">
            <v>1</v>
          </cell>
          <cell r="I36" t="b">
            <v>1</v>
          </cell>
          <cell r="J36" t="b">
            <v>1</v>
          </cell>
          <cell r="K36" t="b">
            <v>1</v>
          </cell>
          <cell r="L36" t="b">
            <v>1</v>
          </cell>
          <cell r="M36" t="b">
            <v>1</v>
          </cell>
          <cell r="N36" t="str">
            <v>NA</v>
          </cell>
          <cell r="O36" t="str">
            <v>NA</v>
          </cell>
          <cell r="P36" t="b">
            <v>1</v>
          </cell>
          <cell r="Q36" t="str">
            <v>NA</v>
          </cell>
          <cell r="R36" t="str">
            <v>NA</v>
          </cell>
          <cell r="S36" t="str">
            <v>NA</v>
          </cell>
          <cell r="T36">
            <v>1</v>
          </cell>
        </row>
        <row r="37">
          <cell r="A37" t="str">
            <v>OBRA CIVIL</v>
          </cell>
          <cell r="B37" t="str">
            <v>GEPRODE</v>
          </cell>
          <cell r="C37" t="b">
            <v>1</v>
          </cell>
          <cell r="D37" t="b">
            <v>0</v>
          </cell>
          <cell r="E37" t="b">
            <v>1</v>
          </cell>
          <cell r="F37" t="b">
            <v>1</v>
          </cell>
          <cell r="G37" t="b">
            <v>1</v>
          </cell>
          <cell r="H37" t="b">
            <v>1</v>
          </cell>
          <cell r="I37" t="b">
            <v>1</v>
          </cell>
          <cell r="J37" t="b">
            <v>1</v>
          </cell>
          <cell r="K37" t="b">
            <v>1</v>
          </cell>
          <cell r="L37" t="b">
            <v>1</v>
          </cell>
          <cell r="M37" t="b">
            <v>1</v>
          </cell>
          <cell r="N37" t="str">
            <v>NA</v>
          </cell>
          <cell r="O37" t="str">
            <v>NA</v>
          </cell>
          <cell r="P37" t="b">
            <v>1</v>
          </cell>
          <cell r="Q37" t="str">
            <v>NA</v>
          </cell>
          <cell r="R37" t="str">
            <v>NA</v>
          </cell>
          <cell r="S37" t="str">
            <v>NA</v>
          </cell>
          <cell r="T37">
            <v>0.91666666666666663</v>
          </cell>
        </row>
        <row r="38">
          <cell r="A38" t="str">
            <v>OBRA CIVIL</v>
          </cell>
          <cell r="B38" t="str">
            <v>DITELME</v>
          </cell>
          <cell r="C38" t="b">
            <v>1</v>
          </cell>
          <cell r="D38" t="str">
            <v>NA</v>
          </cell>
          <cell r="E38" t="b">
            <v>1</v>
          </cell>
          <cell r="F38" t="b">
            <v>1</v>
          </cell>
          <cell r="G38" t="b">
            <v>1</v>
          </cell>
          <cell r="H38" t="b">
            <v>1</v>
          </cell>
          <cell r="I38" t="b">
            <v>1</v>
          </cell>
          <cell r="J38" t="b">
            <v>1</v>
          </cell>
          <cell r="K38" t="b">
            <v>0</v>
          </cell>
          <cell r="L38" t="b">
            <v>1</v>
          </cell>
          <cell r="M38" t="b">
            <v>1</v>
          </cell>
          <cell r="N38" t="str">
            <v>NA</v>
          </cell>
          <cell r="O38" t="str">
            <v>NA</v>
          </cell>
          <cell r="P38" t="b">
            <v>1</v>
          </cell>
          <cell r="Q38" t="str">
            <v>NA</v>
          </cell>
          <cell r="R38" t="str">
            <v>NA</v>
          </cell>
          <cell r="S38" t="str">
            <v>NA</v>
          </cell>
          <cell r="T38">
            <v>0.90909090909090906</v>
          </cell>
        </row>
        <row r="39">
          <cell r="A39" t="str">
            <v>OBRA CIVIL</v>
          </cell>
          <cell r="B39" t="str">
            <v>ZAPATA LISSETH</v>
          </cell>
          <cell r="C39" t="b">
            <v>1</v>
          </cell>
          <cell r="D39" t="str">
            <v>NA</v>
          </cell>
          <cell r="E39" t="str">
            <v>NA</v>
          </cell>
          <cell r="F39" t="b">
            <v>1</v>
          </cell>
          <cell r="G39" t="str">
            <v>NA</v>
          </cell>
          <cell r="H39" t="b">
            <v>1</v>
          </cell>
          <cell r="I39" t="b">
            <v>0</v>
          </cell>
          <cell r="J39" t="b">
            <v>0</v>
          </cell>
          <cell r="K39" t="b">
            <v>1</v>
          </cell>
          <cell r="L39" t="b">
            <v>1</v>
          </cell>
          <cell r="M39" t="b">
            <v>1</v>
          </cell>
          <cell r="N39" t="str">
            <v>NA</v>
          </cell>
          <cell r="O39" t="str">
            <v>NA</v>
          </cell>
          <cell r="P39" t="b">
            <v>1</v>
          </cell>
          <cell r="Q39" t="str">
            <v>NA</v>
          </cell>
          <cell r="R39" t="b">
            <v>1</v>
          </cell>
          <cell r="S39" t="str">
            <v>NA</v>
          </cell>
          <cell r="T39">
            <v>0.88888888888888884</v>
          </cell>
        </row>
        <row r="40">
          <cell r="A40" t="str">
            <v>OBRA CIVIL</v>
          </cell>
          <cell r="B40" t="str">
            <v>PROFILMET</v>
          </cell>
          <cell r="C40" t="b">
            <v>1</v>
          </cell>
          <cell r="D40" t="str">
            <v>NA</v>
          </cell>
          <cell r="E40" t="b">
            <v>1</v>
          </cell>
          <cell r="F40" t="b">
            <v>1</v>
          </cell>
          <cell r="G40" t="b">
            <v>1</v>
          </cell>
          <cell r="H40" t="b">
            <v>1</v>
          </cell>
          <cell r="I40" t="b">
            <v>1</v>
          </cell>
          <cell r="J40" t="b">
            <v>1</v>
          </cell>
          <cell r="K40" t="b">
            <v>0</v>
          </cell>
          <cell r="L40" t="b">
            <v>1</v>
          </cell>
          <cell r="M40" t="b">
            <v>1</v>
          </cell>
          <cell r="N40" t="b">
            <v>0</v>
          </cell>
          <cell r="O40" t="b">
            <v>0</v>
          </cell>
          <cell r="P40" t="b">
            <v>1</v>
          </cell>
          <cell r="Q40" t="str">
            <v>NA</v>
          </cell>
          <cell r="R40" t="b">
            <v>1</v>
          </cell>
          <cell r="S40" t="b">
            <v>0</v>
          </cell>
          <cell r="T40">
            <v>0.73333333333333328</v>
          </cell>
        </row>
        <row r="41">
          <cell r="A41" t="str">
            <v>OBRA CIVIL</v>
          </cell>
          <cell r="B41" t="str">
            <v>CARPATEZ</v>
          </cell>
          <cell r="C41" t="b">
            <v>1</v>
          </cell>
          <cell r="D41" t="str">
            <v>NA</v>
          </cell>
          <cell r="E41" t="b">
            <v>1</v>
          </cell>
          <cell r="F41" t="b">
            <v>1</v>
          </cell>
          <cell r="G41" t="b">
            <v>1</v>
          </cell>
          <cell r="H41" t="b">
            <v>1</v>
          </cell>
          <cell r="I41" t="b">
            <v>1</v>
          </cell>
          <cell r="J41" t="b">
            <v>1</v>
          </cell>
          <cell r="K41" t="b">
            <v>1</v>
          </cell>
          <cell r="L41" t="b">
            <v>1</v>
          </cell>
          <cell r="M41" t="b">
            <v>1</v>
          </cell>
          <cell r="N41" t="str">
            <v>NA</v>
          </cell>
          <cell r="O41" t="str">
            <v>NA</v>
          </cell>
          <cell r="P41" t="b">
            <v>1</v>
          </cell>
          <cell r="Q41" t="str">
            <v>NA</v>
          </cell>
          <cell r="R41" t="str">
            <v>NA</v>
          </cell>
          <cell r="S41" t="str">
            <v>NA</v>
          </cell>
          <cell r="T41">
            <v>1</v>
          </cell>
        </row>
        <row r="42">
          <cell r="A42" t="str">
            <v>OBRA CIVIL</v>
          </cell>
          <cell r="B42" t="str">
            <v>GUILLERDOLF</v>
          </cell>
          <cell r="C42" t="b">
            <v>1</v>
          </cell>
          <cell r="D42" t="b">
            <v>0</v>
          </cell>
          <cell r="E42" t="b">
            <v>1</v>
          </cell>
          <cell r="F42" t="b">
            <v>1</v>
          </cell>
          <cell r="G42" t="b">
            <v>1</v>
          </cell>
          <cell r="H42" t="b">
            <v>1</v>
          </cell>
          <cell r="I42" t="b">
            <v>1</v>
          </cell>
          <cell r="J42" t="b">
            <v>0</v>
          </cell>
          <cell r="K42" t="b">
            <v>1</v>
          </cell>
          <cell r="L42" t="b">
            <v>1</v>
          </cell>
          <cell r="M42" t="b">
            <v>1</v>
          </cell>
          <cell r="N42" t="str">
            <v>NA</v>
          </cell>
          <cell r="O42" t="str">
            <v>NA</v>
          </cell>
          <cell r="P42" t="b">
            <v>1</v>
          </cell>
          <cell r="Q42" t="str">
            <v>NA</v>
          </cell>
          <cell r="R42" t="str">
            <v>NA</v>
          </cell>
          <cell r="S42" t="str">
            <v>NA</v>
          </cell>
          <cell r="T42">
            <v>0.90909090909090906</v>
          </cell>
        </row>
        <row r="43">
          <cell r="A43" t="str">
            <v>OBRA CIVIL</v>
          </cell>
          <cell r="B43" t="str">
            <v>PROCUNSA</v>
          </cell>
          <cell r="C43" t="b">
            <v>1</v>
          </cell>
          <cell r="D43" t="str">
            <v>NA</v>
          </cell>
          <cell r="E43" t="b">
            <v>1</v>
          </cell>
          <cell r="F43" t="b">
            <v>1</v>
          </cell>
          <cell r="G43" t="b">
            <v>1</v>
          </cell>
          <cell r="H43" t="b">
            <v>1</v>
          </cell>
          <cell r="I43" t="b">
            <v>1</v>
          </cell>
          <cell r="J43" t="b">
            <v>1</v>
          </cell>
          <cell r="K43" t="b">
            <v>0</v>
          </cell>
          <cell r="L43" t="b">
            <v>1</v>
          </cell>
          <cell r="M43" t="b">
            <v>1</v>
          </cell>
          <cell r="N43" t="b">
            <v>1</v>
          </cell>
          <cell r="O43" t="str">
            <v>NA</v>
          </cell>
          <cell r="P43" t="b">
            <v>1</v>
          </cell>
          <cell r="Q43" t="str">
            <v>NA</v>
          </cell>
          <cell r="R43" t="str">
            <v>NA</v>
          </cell>
          <cell r="S43" t="str">
            <v>NA</v>
          </cell>
          <cell r="T43">
            <v>0.91666666666666663</v>
          </cell>
        </row>
        <row r="44">
          <cell r="A44" t="str">
            <v>OBRA CIVIL</v>
          </cell>
          <cell r="B44" t="str">
            <v>NELLY DEL CARMEN</v>
          </cell>
          <cell r="C44" t="b">
            <v>1</v>
          </cell>
          <cell r="D44" t="b">
            <v>1</v>
          </cell>
          <cell r="E44" t="str">
            <v>NA</v>
          </cell>
          <cell r="F44" t="b">
            <v>1</v>
          </cell>
          <cell r="G44" t="str">
            <v>NA</v>
          </cell>
          <cell r="H44" t="b">
            <v>1</v>
          </cell>
          <cell r="I44" t="b">
            <v>1</v>
          </cell>
          <cell r="J44" t="b">
            <v>1</v>
          </cell>
          <cell r="K44" t="b">
            <v>0</v>
          </cell>
          <cell r="L44" t="b">
            <v>1</v>
          </cell>
          <cell r="M44" t="b">
            <v>1</v>
          </cell>
          <cell r="N44" t="b">
            <v>1</v>
          </cell>
          <cell r="O44" t="str">
            <v>NA</v>
          </cell>
          <cell r="P44" t="b">
            <v>1</v>
          </cell>
          <cell r="Q44" t="str">
            <v>NA</v>
          </cell>
          <cell r="R44" t="str">
            <v>NA</v>
          </cell>
          <cell r="S44" t="str">
            <v>NA</v>
          </cell>
          <cell r="T44">
            <v>0.90909090909090906</v>
          </cell>
        </row>
        <row r="45">
          <cell r="A45" t="str">
            <v>OBRA CIVIL</v>
          </cell>
          <cell r="B45" t="str">
            <v>SENDRE</v>
          </cell>
          <cell r="C45" t="b">
            <v>1</v>
          </cell>
          <cell r="D45" t="str">
            <v>NA</v>
          </cell>
          <cell r="E45" t="b">
            <v>1</v>
          </cell>
          <cell r="F45" t="b">
            <v>1</v>
          </cell>
          <cell r="G45" t="b">
            <v>1</v>
          </cell>
          <cell r="H45" t="b">
            <v>1</v>
          </cell>
          <cell r="I45" t="b">
            <v>1</v>
          </cell>
          <cell r="J45" t="b">
            <v>1</v>
          </cell>
          <cell r="K45" t="b">
            <v>1</v>
          </cell>
          <cell r="L45" t="b">
            <v>1</v>
          </cell>
          <cell r="M45" t="b">
            <v>1</v>
          </cell>
          <cell r="N45" t="str">
            <v>NA</v>
          </cell>
          <cell r="O45" t="str">
            <v>NA</v>
          </cell>
          <cell r="P45" t="b">
            <v>1</v>
          </cell>
          <cell r="Q45" t="str">
            <v>NA</v>
          </cell>
          <cell r="R45" t="str">
            <v>NA</v>
          </cell>
          <cell r="S45" t="str">
            <v>NA</v>
          </cell>
          <cell r="T45">
            <v>1</v>
          </cell>
        </row>
        <row r="46">
          <cell r="A46" t="str">
            <v>OBRA CIVIL</v>
          </cell>
          <cell r="B46" t="str">
            <v>FABRE-CONTRACTING</v>
          </cell>
          <cell r="C46" t="b">
            <v>1</v>
          </cell>
          <cell r="D46" t="str">
            <v>NA</v>
          </cell>
          <cell r="E46" t="b">
            <v>1</v>
          </cell>
          <cell r="F46" t="b">
            <v>1</v>
          </cell>
          <cell r="G46" t="b">
            <v>1</v>
          </cell>
          <cell r="H46" t="b">
            <v>1</v>
          </cell>
          <cell r="I46" t="b">
            <v>1</v>
          </cell>
          <cell r="J46" t="b">
            <v>1</v>
          </cell>
          <cell r="K46" t="b">
            <v>1</v>
          </cell>
          <cell r="L46" t="b">
            <v>1</v>
          </cell>
          <cell r="M46" t="b">
            <v>1</v>
          </cell>
          <cell r="N46" t="str">
            <v>NA</v>
          </cell>
          <cell r="O46" t="str">
            <v>NA</v>
          </cell>
          <cell r="P46" t="b">
            <v>1</v>
          </cell>
          <cell r="Q46" t="str">
            <v>NA</v>
          </cell>
          <cell r="R46" t="str">
            <v>NA</v>
          </cell>
          <cell r="S46" t="str">
            <v>NA</v>
          </cell>
          <cell r="T46">
            <v>1</v>
          </cell>
        </row>
        <row r="47">
          <cell r="A47" t="str">
            <v>MTTO</v>
          </cell>
          <cell r="B47" t="str">
            <v>REIBIN</v>
          </cell>
          <cell r="C47" t="b">
            <v>1</v>
          </cell>
          <cell r="D47" t="str">
            <v>NA</v>
          </cell>
          <cell r="E47" t="str">
            <v>NA</v>
          </cell>
          <cell r="F47" t="b">
            <v>1</v>
          </cell>
          <cell r="G47" t="str">
            <v>NA</v>
          </cell>
          <cell r="H47" t="b">
            <v>1</v>
          </cell>
          <cell r="I47" t="b">
            <v>1</v>
          </cell>
          <cell r="J47" t="b">
            <v>1</v>
          </cell>
          <cell r="K47" t="b">
            <v>1</v>
          </cell>
          <cell r="L47" t="b">
            <v>1</v>
          </cell>
          <cell r="M47" t="b">
            <v>1</v>
          </cell>
          <cell r="N47" t="str">
            <v>NA</v>
          </cell>
          <cell r="O47" t="str">
            <v>NA</v>
          </cell>
          <cell r="P47" t="b">
            <v>1</v>
          </cell>
          <cell r="Q47" t="str">
            <v>NA</v>
          </cell>
          <cell r="R47" t="str">
            <v>NA</v>
          </cell>
          <cell r="S47" t="str">
            <v>NA</v>
          </cell>
          <cell r="T47">
            <v>1</v>
          </cell>
        </row>
        <row r="48">
          <cell r="A48" t="str">
            <v>MTTO</v>
          </cell>
          <cell r="B48" t="str">
            <v>TRITON</v>
          </cell>
          <cell r="C48" t="b">
            <v>1</v>
          </cell>
          <cell r="D48" t="str">
            <v>NA</v>
          </cell>
          <cell r="E48" t="b">
            <v>1</v>
          </cell>
          <cell r="F48" t="b">
            <v>1</v>
          </cell>
          <cell r="G48" t="b">
            <v>1</v>
          </cell>
          <cell r="H48" t="b">
            <v>1</v>
          </cell>
          <cell r="I48" t="b">
            <v>1</v>
          </cell>
          <cell r="J48" t="b">
            <v>1</v>
          </cell>
          <cell r="K48" t="b">
            <v>0</v>
          </cell>
          <cell r="L48" t="b">
            <v>1</v>
          </cell>
          <cell r="M48" t="b">
            <v>1</v>
          </cell>
          <cell r="N48" t="str">
            <v>NA</v>
          </cell>
          <cell r="O48" t="str">
            <v>NA</v>
          </cell>
          <cell r="P48" t="b">
            <v>1</v>
          </cell>
          <cell r="Q48" t="str">
            <v>NA</v>
          </cell>
          <cell r="R48" t="str">
            <v>NA</v>
          </cell>
          <cell r="S48" t="str">
            <v>NA</v>
          </cell>
          <cell r="T48">
            <v>0.90909090909090906</v>
          </cell>
        </row>
        <row r="49">
          <cell r="A49" t="str">
            <v>MTTO</v>
          </cell>
          <cell r="B49" t="str">
            <v>ONLYCONTROL</v>
          </cell>
          <cell r="C49" t="b">
            <v>1</v>
          </cell>
          <cell r="D49" t="str">
            <v>NA</v>
          </cell>
          <cell r="E49" t="b">
            <v>1</v>
          </cell>
          <cell r="F49" t="b">
            <v>1</v>
          </cell>
          <cell r="G49" t="b">
            <v>1</v>
          </cell>
          <cell r="H49" t="b">
            <v>1</v>
          </cell>
          <cell r="I49" t="b">
            <v>1</v>
          </cell>
          <cell r="J49" t="b">
            <v>0</v>
          </cell>
          <cell r="K49" t="b">
            <v>0</v>
          </cell>
          <cell r="L49" t="b">
            <v>1</v>
          </cell>
          <cell r="M49" t="b">
            <v>1</v>
          </cell>
          <cell r="N49" t="str">
            <v>NA</v>
          </cell>
          <cell r="O49" t="str">
            <v>NA</v>
          </cell>
          <cell r="P49" t="b">
            <v>1</v>
          </cell>
          <cell r="Q49" t="str">
            <v>NA</v>
          </cell>
          <cell r="R49" t="str">
            <v>NA</v>
          </cell>
          <cell r="S49" t="str">
            <v>NA</v>
          </cell>
          <cell r="T49">
            <v>0.81818181818181823</v>
          </cell>
        </row>
        <row r="50">
          <cell r="A50" t="str">
            <v>MTTO</v>
          </cell>
          <cell r="B50" t="str">
            <v>PONTON JUAN</v>
          </cell>
          <cell r="C50" t="b">
            <v>1</v>
          </cell>
          <cell r="D50" t="str">
            <v>NA</v>
          </cell>
          <cell r="E50" t="str">
            <v>NA</v>
          </cell>
          <cell r="F50" t="b">
            <v>1</v>
          </cell>
          <cell r="G50" t="str">
            <v>NA</v>
          </cell>
          <cell r="H50" t="b">
            <v>1</v>
          </cell>
          <cell r="I50" t="b">
            <v>1</v>
          </cell>
          <cell r="J50" t="b">
            <v>0</v>
          </cell>
          <cell r="K50" t="b">
            <v>0</v>
          </cell>
          <cell r="L50" t="b">
            <v>1</v>
          </cell>
          <cell r="M50" t="b">
            <v>1</v>
          </cell>
          <cell r="N50" t="str">
            <v>NA</v>
          </cell>
          <cell r="O50" t="str">
            <v>NA</v>
          </cell>
          <cell r="P50" t="b">
            <v>1</v>
          </cell>
          <cell r="Q50" t="str">
            <v>NA</v>
          </cell>
          <cell r="R50" t="str">
            <v>NA</v>
          </cell>
          <cell r="S50" t="str">
            <v>NA</v>
          </cell>
          <cell r="T50">
            <v>0.77777777777777779</v>
          </cell>
        </row>
        <row r="51">
          <cell r="A51" t="str">
            <v>MTTO</v>
          </cell>
          <cell r="B51" t="str">
            <v>BUZOS COMERCIALES</v>
          </cell>
          <cell r="C51" t="b">
            <v>0</v>
          </cell>
          <cell r="D51" t="str">
            <v>NA</v>
          </cell>
          <cell r="E51" t="b">
            <v>1</v>
          </cell>
          <cell r="F51" t="b">
            <v>0</v>
          </cell>
          <cell r="G51" t="b">
            <v>1</v>
          </cell>
          <cell r="H51" t="b">
            <v>1</v>
          </cell>
          <cell r="I51" t="b">
            <v>1</v>
          </cell>
          <cell r="J51" t="b">
            <v>0</v>
          </cell>
          <cell r="K51" t="b">
            <v>1</v>
          </cell>
          <cell r="L51" t="b">
            <v>1</v>
          </cell>
          <cell r="M51" t="b">
            <v>1</v>
          </cell>
          <cell r="N51" t="str">
            <v>NA</v>
          </cell>
          <cell r="O51" t="str">
            <v>NA</v>
          </cell>
          <cell r="P51" t="b">
            <v>0</v>
          </cell>
          <cell r="Q51" t="str">
            <v>NA</v>
          </cell>
          <cell r="R51" t="str">
            <v>NA</v>
          </cell>
          <cell r="S51" t="str">
            <v>NA</v>
          </cell>
          <cell r="T51">
            <v>0.63636363636363635</v>
          </cell>
        </row>
        <row r="52">
          <cell r="A52" t="str">
            <v>MTTO</v>
          </cell>
          <cell r="B52" t="str">
            <v>MONTESDEOCA JULIO</v>
          </cell>
          <cell r="C52" t="b">
            <v>1</v>
          </cell>
          <cell r="D52" t="str">
            <v>NA</v>
          </cell>
          <cell r="E52" t="str">
            <v>NA</v>
          </cell>
          <cell r="F52" t="b">
            <v>1</v>
          </cell>
          <cell r="G52" t="str">
            <v>NA</v>
          </cell>
          <cell r="H52" t="b">
            <v>1</v>
          </cell>
          <cell r="I52" t="b">
            <v>1</v>
          </cell>
          <cell r="J52" t="b">
            <v>0</v>
          </cell>
          <cell r="K52" t="b">
            <v>1</v>
          </cell>
          <cell r="L52" t="b">
            <v>1</v>
          </cell>
          <cell r="M52" t="b">
            <v>1</v>
          </cell>
          <cell r="N52" t="str">
            <v>NA</v>
          </cell>
          <cell r="O52" t="str">
            <v>NA</v>
          </cell>
          <cell r="P52" t="b">
            <v>1</v>
          </cell>
          <cell r="Q52" t="str">
            <v>NA</v>
          </cell>
          <cell r="R52" t="str">
            <v>NA</v>
          </cell>
          <cell r="S52" t="str">
            <v>NA</v>
          </cell>
          <cell r="T52">
            <v>0.72727272727272729</v>
          </cell>
        </row>
        <row r="53">
          <cell r="A53" t="str">
            <v>MTTO</v>
          </cell>
          <cell r="B53" t="str">
            <v>COFESAN</v>
          </cell>
          <cell r="C53" t="b">
            <v>1</v>
          </cell>
          <cell r="D53" t="str">
            <v>NA</v>
          </cell>
          <cell r="E53" t="b">
            <v>1</v>
          </cell>
          <cell r="F53" t="b">
            <v>1</v>
          </cell>
          <cell r="G53" t="b">
            <v>1</v>
          </cell>
          <cell r="H53" t="b">
            <v>1</v>
          </cell>
          <cell r="I53" t="b">
            <v>1</v>
          </cell>
          <cell r="J53" t="b">
            <v>1</v>
          </cell>
          <cell r="K53" t="b">
            <v>1</v>
          </cell>
          <cell r="L53" t="b">
            <v>1</v>
          </cell>
          <cell r="M53" t="b">
            <v>1</v>
          </cell>
          <cell r="N53" t="str">
            <v>NA</v>
          </cell>
          <cell r="O53" t="str">
            <v>NA</v>
          </cell>
          <cell r="P53" t="b">
            <v>1</v>
          </cell>
          <cell r="Q53" t="str">
            <v>NA</v>
          </cell>
          <cell r="R53" t="str">
            <v>NA</v>
          </cell>
          <cell r="S53" t="str">
            <v>NA</v>
          </cell>
          <cell r="T53">
            <v>1</v>
          </cell>
        </row>
        <row r="54">
          <cell r="A54" t="str">
            <v>MTTO</v>
          </cell>
          <cell r="B54" t="str">
            <v>ECUMSOLUTIONS</v>
          </cell>
          <cell r="C54" t="b">
            <v>1</v>
          </cell>
          <cell r="D54" t="str">
            <v>NA</v>
          </cell>
          <cell r="E54" t="b">
            <v>1</v>
          </cell>
          <cell r="F54" t="b">
            <v>1</v>
          </cell>
          <cell r="G54" t="b">
            <v>1</v>
          </cell>
          <cell r="H54" t="b">
            <v>1</v>
          </cell>
          <cell r="I54" t="b">
            <v>1</v>
          </cell>
          <cell r="J54" t="b">
            <v>1</v>
          </cell>
          <cell r="K54" t="b">
            <v>1</v>
          </cell>
          <cell r="L54" t="b">
            <v>1</v>
          </cell>
          <cell r="M54" t="b">
            <v>1</v>
          </cell>
          <cell r="N54" t="str">
            <v>NA</v>
          </cell>
          <cell r="O54" t="str">
            <v>NA</v>
          </cell>
          <cell r="P54" t="b">
            <v>1</v>
          </cell>
          <cell r="Q54" t="str">
            <v>NA</v>
          </cell>
          <cell r="R54" t="str">
            <v>NA</v>
          </cell>
          <cell r="S54" t="str">
            <v>NA</v>
          </cell>
          <cell r="T54">
            <v>1</v>
          </cell>
        </row>
        <row r="55">
          <cell r="A55" t="str">
            <v>MTTO</v>
          </cell>
          <cell r="B55" t="str">
            <v>ECUATRAILER</v>
          </cell>
          <cell r="C55" t="b">
            <v>0</v>
          </cell>
          <cell r="D55" t="str">
            <v>NA</v>
          </cell>
          <cell r="E55" t="b">
            <v>1</v>
          </cell>
          <cell r="F55" t="b">
            <v>1</v>
          </cell>
          <cell r="G55" t="b">
            <v>1</v>
          </cell>
          <cell r="H55" t="b">
            <v>1</v>
          </cell>
          <cell r="I55" t="b">
            <v>1</v>
          </cell>
          <cell r="J55" t="b">
            <v>0</v>
          </cell>
          <cell r="K55" t="b">
            <v>1</v>
          </cell>
          <cell r="L55" t="b">
            <v>1</v>
          </cell>
          <cell r="M55" t="b">
            <v>1</v>
          </cell>
          <cell r="N55" t="str">
            <v>NA</v>
          </cell>
          <cell r="O55" t="str">
            <v>NA</v>
          </cell>
          <cell r="P55" t="b">
            <v>1</v>
          </cell>
          <cell r="Q55" t="str">
            <v>NA</v>
          </cell>
          <cell r="R55" t="str">
            <v>NA</v>
          </cell>
          <cell r="S55" t="str">
            <v>NA</v>
          </cell>
          <cell r="T55">
            <v>0.81818181818181823</v>
          </cell>
        </row>
        <row r="56">
          <cell r="A56" t="str">
            <v>MTTO</v>
          </cell>
          <cell r="B56" t="str">
            <v>BANDAS BTM</v>
          </cell>
          <cell r="C56" t="b">
            <v>1</v>
          </cell>
          <cell r="D56" t="str">
            <v>NA</v>
          </cell>
          <cell r="E56" t="b">
            <v>1</v>
          </cell>
          <cell r="F56" t="b">
            <v>1</v>
          </cell>
          <cell r="G56" t="b">
            <v>1</v>
          </cell>
          <cell r="H56" t="b">
            <v>1</v>
          </cell>
          <cell r="I56" t="b">
            <v>1</v>
          </cell>
          <cell r="J56" t="b">
            <v>0</v>
          </cell>
          <cell r="K56" t="b">
            <v>1</v>
          </cell>
          <cell r="L56" t="b">
            <v>1</v>
          </cell>
          <cell r="M56" t="b">
            <v>1</v>
          </cell>
          <cell r="N56" t="str">
            <v>NA</v>
          </cell>
          <cell r="O56" t="str">
            <v>NA</v>
          </cell>
          <cell r="P56" t="b">
            <v>1</v>
          </cell>
          <cell r="Q56" t="str">
            <v>NA</v>
          </cell>
          <cell r="R56" t="str">
            <v>NA</v>
          </cell>
          <cell r="S56" t="str">
            <v>NA</v>
          </cell>
          <cell r="T56">
            <v>0.90909090909090906</v>
          </cell>
        </row>
        <row r="57">
          <cell r="A57" t="str">
            <v>MTTO</v>
          </cell>
          <cell r="B57" t="str">
            <v>HUGO PERFECTO</v>
          </cell>
          <cell r="C57" t="b">
            <v>1</v>
          </cell>
          <cell r="D57" t="str">
            <v>NA</v>
          </cell>
          <cell r="E57" t="str">
            <v>NA</v>
          </cell>
          <cell r="F57" t="b">
            <v>1</v>
          </cell>
          <cell r="G57" t="str">
            <v>NA</v>
          </cell>
          <cell r="H57" t="b">
            <v>1</v>
          </cell>
          <cell r="I57" t="b">
            <v>1</v>
          </cell>
          <cell r="J57" t="b">
            <v>1</v>
          </cell>
          <cell r="K57" t="b">
            <v>1</v>
          </cell>
          <cell r="L57" t="b">
            <v>1</v>
          </cell>
          <cell r="M57" t="b">
            <v>1</v>
          </cell>
          <cell r="N57" t="str">
            <v>NA</v>
          </cell>
          <cell r="O57" t="str">
            <v>NA</v>
          </cell>
          <cell r="P57" t="b">
            <v>1</v>
          </cell>
          <cell r="Q57" t="str">
            <v>NA</v>
          </cell>
          <cell r="R57" t="str">
            <v>NA</v>
          </cell>
          <cell r="S57" t="str">
            <v>NA</v>
          </cell>
          <cell r="T57">
            <v>1</v>
          </cell>
        </row>
        <row r="58">
          <cell r="A58" t="str">
            <v>MTTO</v>
          </cell>
          <cell r="B58" t="str">
            <v>BRITRANSFORMADORES</v>
          </cell>
          <cell r="C58" t="b">
            <v>1</v>
          </cell>
          <cell r="D58" t="str">
            <v>NA</v>
          </cell>
          <cell r="E58" t="b">
            <v>1</v>
          </cell>
          <cell r="F58" t="b">
            <v>1</v>
          </cell>
          <cell r="G58" t="b">
            <v>1</v>
          </cell>
          <cell r="H58" t="b">
            <v>1</v>
          </cell>
          <cell r="I58" t="b">
            <v>1</v>
          </cell>
          <cell r="J58" t="b">
            <v>1</v>
          </cell>
          <cell r="K58" t="b">
            <v>0</v>
          </cell>
          <cell r="L58" t="b">
            <v>1</v>
          </cell>
          <cell r="M58" t="b">
            <v>1</v>
          </cell>
          <cell r="N58" t="str">
            <v>NA</v>
          </cell>
          <cell r="O58" t="str">
            <v>NA</v>
          </cell>
          <cell r="P58" t="b">
            <v>1</v>
          </cell>
          <cell r="Q58" t="str">
            <v>NA</v>
          </cell>
          <cell r="R58" t="str">
            <v>NA</v>
          </cell>
          <cell r="S58" t="str">
            <v>NA</v>
          </cell>
          <cell r="T58">
            <v>0.90909090909090906</v>
          </cell>
        </row>
        <row r="59">
          <cell r="A59" t="str">
            <v>MTTO</v>
          </cell>
          <cell r="B59" t="str">
            <v>JORGE GAIBOR</v>
          </cell>
          <cell r="C59" t="b">
            <v>1</v>
          </cell>
          <cell r="D59" t="str">
            <v>NA</v>
          </cell>
          <cell r="E59" t="str">
            <v>NA</v>
          </cell>
          <cell r="F59" t="b">
            <v>1</v>
          </cell>
          <cell r="G59" t="str">
            <v>NA</v>
          </cell>
          <cell r="H59" t="b">
            <v>0</v>
          </cell>
          <cell r="I59" t="b">
            <v>1</v>
          </cell>
          <cell r="J59" t="b">
            <v>1</v>
          </cell>
          <cell r="K59" t="b">
            <v>1</v>
          </cell>
          <cell r="L59" t="b">
            <v>0</v>
          </cell>
          <cell r="M59" t="b">
            <v>1</v>
          </cell>
          <cell r="N59" t="str">
            <v>NA</v>
          </cell>
          <cell r="O59" t="str">
            <v>NA</v>
          </cell>
          <cell r="P59" t="b">
            <v>1</v>
          </cell>
          <cell r="Q59" t="str">
            <v>NA</v>
          </cell>
          <cell r="R59" t="str">
            <v>NA</v>
          </cell>
          <cell r="S59" t="str">
            <v>NA</v>
          </cell>
          <cell r="T59">
            <v>0.77777777777777779</v>
          </cell>
        </row>
        <row r="60">
          <cell r="A60" t="str">
            <v>MTTO</v>
          </cell>
          <cell r="B60" t="str">
            <v>AUTOMATIZACION Y CONTROL PARA LA INDUSTRIA</v>
          </cell>
          <cell r="C60" t="b">
            <v>1</v>
          </cell>
          <cell r="D60" t="str">
            <v>NA</v>
          </cell>
          <cell r="E60" t="b">
            <v>1</v>
          </cell>
          <cell r="F60" t="b">
            <v>1</v>
          </cell>
          <cell r="G60" t="b">
            <v>1</v>
          </cell>
          <cell r="H60" t="b">
            <v>1</v>
          </cell>
          <cell r="I60" t="b">
            <v>1</v>
          </cell>
          <cell r="J60" t="b">
            <v>1</v>
          </cell>
          <cell r="K60" t="b">
            <v>1</v>
          </cell>
          <cell r="L60" t="b">
            <v>1</v>
          </cell>
          <cell r="M60" t="b">
            <v>1</v>
          </cell>
          <cell r="N60" t="str">
            <v>NA</v>
          </cell>
          <cell r="O60" t="str">
            <v>NA</v>
          </cell>
          <cell r="P60" t="b">
            <v>1</v>
          </cell>
          <cell r="Q60" t="str">
            <v>NA</v>
          </cell>
          <cell r="R60" t="str">
            <v>NA</v>
          </cell>
          <cell r="S60" t="str">
            <v>NA</v>
          </cell>
          <cell r="T60">
            <v>1</v>
          </cell>
        </row>
        <row r="61">
          <cell r="A61" t="str">
            <v>MTTO</v>
          </cell>
          <cell r="B61" t="str">
            <v>ISOLLANTA</v>
          </cell>
          <cell r="C61" t="b">
            <v>1</v>
          </cell>
          <cell r="D61" t="str">
            <v>NA</v>
          </cell>
          <cell r="E61" t="b">
            <v>1</v>
          </cell>
          <cell r="F61" t="b">
            <v>1</v>
          </cell>
          <cell r="G61" t="b">
            <v>0</v>
          </cell>
          <cell r="H61" t="b">
            <v>1</v>
          </cell>
          <cell r="I61" t="b">
            <v>0</v>
          </cell>
          <cell r="J61" t="b">
            <v>0</v>
          </cell>
          <cell r="K61" t="b">
            <v>1</v>
          </cell>
          <cell r="L61" t="b">
            <v>1</v>
          </cell>
          <cell r="M61" t="b">
            <v>1</v>
          </cell>
          <cell r="N61" t="str">
            <v>NA</v>
          </cell>
          <cell r="O61" t="str">
            <v>NA</v>
          </cell>
          <cell r="P61" t="b">
            <v>0</v>
          </cell>
          <cell r="Q61" t="str">
            <v>NA</v>
          </cell>
          <cell r="R61" t="str">
            <v>NA</v>
          </cell>
          <cell r="S61" t="str">
            <v>NA</v>
          </cell>
          <cell r="T61">
            <v>0.63636363636363635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A8041-EF86-4A95-B2B9-D8BA5F3B0FAC}">
  <dimension ref="A1:W75"/>
  <sheetViews>
    <sheetView tabSelected="1" topLeftCell="A61" zoomScale="70" zoomScaleNormal="70" workbookViewId="0">
      <selection activeCell="K14" sqref="K14"/>
    </sheetView>
  </sheetViews>
  <sheetFormatPr baseColWidth="10" defaultRowHeight="15.75" x14ac:dyDescent="0.25"/>
  <cols>
    <col min="1" max="1" width="17.75" customWidth="1"/>
    <col min="2" max="2" width="25.25" customWidth="1"/>
    <col min="3" max="19" width="5.875" customWidth="1"/>
    <col min="20" max="20" width="20.25" style="3" bestFit="1" customWidth="1"/>
    <col min="21" max="21" width="15.375" customWidth="1"/>
    <col min="22" max="22" width="24" style="3" bestFit="1" customWidth="1"/>
  </cols>
  <sheetData>
    <row r="1" spans="1:23" ht="48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8" t="s">
        <v>21</v>
      </c>
      <c r="V1" s="8" t="s">
        <v>22</v>
      </c>
    </row>
    <row r="2" spans="1:23" ht="15.75" customHeight="1" x14ac:dyDescent="0.25">
      <c r="A2" s="5" t="str" cm="1">
        <f t="array" ref="A2:T20">[1]OPC!$A$6:$T$24</f>
        <v>OPC</v>
      </c>
      <c r="B2" s="5" t="str">
        <v>EQUIPUERTO</v>
      </c>
      <c r="C2" s="6" t="b">
        <v>1</v>
      </c>
      <c r="D2" s="6" t="b">
        <v>1</v>
      </c>
      <c r="E2" s="6" t="b">
        <v>1</v>
      </c>
      <c r="F2" s="6" t="b">
        <v>1</v>
      </c>
      <c r="G2" s="6" t="b">
        <v>1</v>
      </c>
      <c r="H2" s="6" t="b">
        <v>1</v>
      </c>
      <c r="I2" s="6" t="b">
        <v>1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7">
        <v>1</v>
      </c>
      <c r="U2" s="4">
        <f>COUNTIF(C2:S2,TRUE)</f>
        <v>17</v>
      </c>
      <c r="V2" s="4">
        <f>COUNTIF(C2:S2,FALSE)</f>
        <v>0</v>
      </c>
      <c r="W2" s="1"/>
    </row>
    <row r="3" spans="1:23" ht="15.75" customHeight="1" x14ac:dyDescent="0.25">
      <c r="A3" s="5" t="str">
        <v>OPC</v>
      </c>
      <c r="B3" s="5" t="str">
        <v>ECA</v>
      </c>
      <c r="C3" s="6" t="b">
        <v>1</v>
      </c>
      <c r="D3" s="6" t="b">
        <v>1</v>
      </c>
      <c r="E3" s="6" t="b">
        <v>1</v>
      </c>
      <c r="F3" s="6" t="b">
        <v>1</v>
      </c>
      <c r="G3" s="6" t="b">
        <v>1</v>
      </c>
      <c r="H3" s="6" t="b">
        <v>1</v>
      </c>
      <c r="I3" s="6" t="b">
        <v>1</v>
      </c>
      <c r="J3" s="6" t="b">
        <v>1</v>
      </c>
      <c r="K3" s="6" t="b">
        <v>1</v>
      </c>
      <c r="L3" s="6" t="b">
        <v>1</v>
      </c>
      <c r="M3" s="6" t="b">
        <v>1</v>
      </c>
      <c r="N3" s="6" t="b">
        <v>1</v>
      </c>
      <c r="O3" s="6" t="b">
        <v>1</v>
      </c>
      <c r="P3" s="6" t="b">
        <v>1</v>
      </c>
      <c r="Q3" s="6" t="b">
        <v>1</v>
      </c>
      <c r="R3" s="6" t="b">
        <v>1</v>
      </c>
      <c r="S3" s="6" t="b">
        <v>1</v>
      </c>
      <c r="T3" s="7">
        <v>1</v>
      </c>
      <c r="U3" s="4">
        <f t="shared" ref="U3:U66" si="0">COUNTIF(C3:S3,TRUE)</f>
        <v>17</v>
      </c>
      <c r="V3" s="4">
        <f t="shared" ref="V3:V66" si="1">COUNTIF(C3:S3,FALSE)</f>
        <v>0</v>
      </c>
      <c r="W3" s="1"/>
    </row>
    <row r="4" spans="1:23" ht="15.75" customHeight="1" x14ac:dyDescent="0.25">
      <c r="A4" s="5" t="str">
        <v>OPC</v>
      </c>
      <c r="B4" s="5" t="str">
        <v>FLAMONTI</v>
      </c>
      <c r="C4" s="6" t="b">
        <v>1</v>
      </c>
      <c r="D4" s="6" t="b">
        <v>1</v>
      </c>
      <c r="E4" s="6" t="b">
        <v>1</v>
      </c>
      <c r="F4" s="6" t="b">
        <v>1</v>
      </c>
      <c r="G4" s="6" t="b">
        <v>1</v>
      </c>
      <c r="H4" s="6" t="b">
        <v>1</v>
      </c>
      <c r="I4" s="6" t="b">
        <v>1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1</v>
      </c>
      <c r="S4" s="6" t="b">
        <v>1</v>
      </c>
      <c r="T4" s="7">
        <v>1</v>
      </c>
      <c r="U4" s="4">
        <f t="shared" si="0"/>
        <v>17</v>
      </c>
      <c r="V4" s="4">
        <f t="shared" si="1"/>
        <v>0</v>
      </c>
      <c r="W4" s="1"/>
    </row>
    <row r="5" spans="1:23" ht="15.75" customHeight="1" x14ac:dyDescent="0.25">
      <c r="A5" s="5" t="str">
        <v>OPC</v>
      </c>
      <c r="B5" s="5" t="str">
        <v>AMGAR</v>
      </c>
      <c r="C5" s="6" t="b">
        <v>1</v>
      </c>
      <c r="D5" s="6" t="b">
        <v>1</v>
      </c>
      <c r="E5" s="6" t="b">
        <v>1</v>
      </c>
      <c r="F5" s="6" t="b">
        <v>1</v>
      </c>
      <c r="G5" s="6" t="b">
        <v>1</v>
      </c>
      <c r="H5" s="6" t="b">
        <v>1</v>
      </c>
      <c r="I5" s="6" t="b">
        <v>1</v>
      </c>
      <c r="J5" s="6" t="b">
        <v>1</v>
      </c>
      <c r="K5" s="6" t="b">
        <v>1</v>
      </c>
      <c r="L5" s="6" t="b">
        <v>1</v>
      </c>
      <c r="M5" s="6" t="b">
        <v>1</v>
      </c>
      <c r="N5" s="6" t="b">
        <v>1</v>
      </c>
      <c r="O5" s="6" t="b">
        <v>1</v>
      </c>
      <c r="P5" s="6" t="b">
        <v>1</v>
      </c>
      <c r="Q5" s="6" t="b">
        <v>1</v>
      </c>
      <c r="R5" s="6" t="b">
        <v>1</v>
      </c>
      <c r="S5" s="6" t="b">
        <v>1</v>
      </c>
      <c r="T5" s="7">
        <v>1</v>
      </c>
      <c r="U5" s="4">
        <f t="shared" si="0"/>
        <v>17</v>
      </c>
      <c r="V5" s="4">
        <f t="shared" si="1"/>
        <v>0</v>
      </c>
      <c r="W5" s="1"/>
    </row>
    <row r="6" spans="1:23" ht="15.75" customHeight="1" x14ac:dyDescent="0.25">
      <c r="A6" s="5" t="str">
        <v>OPC</v>
      </c>
      <c r="B6" s="5" t="str">
        <v>PORVESEA</v>
      </c>
      <c r="C6" s="6" t="b">
        <v>1</v>
      </c>
      <c r="D6" s="6" t="b">
        <v>1</v>
      </c>
      <c r="E6" s="6" t="b">
        <v>1</v>
      </c>
      <c r="F6" s="6" t="b">
        <v>1</v>
      </c>
      <c r="G6" s="6" t="b">
        <v>1</v>
      </c>
      <c r="H6" s="6" t="b">
        <v>1</v>
      </c>
      <c r="I6" s="6" t="b">
        <v>1</v>
      </c>
      <c r="J6" s="6" t="b">
        <v>1</v>
      </c>
      <c r="K6" s="6" t="b">
        <v>1</v>
      </c>
      <c r="L6" s="6" t="b">
        <v>1</v>
      </c>
      <c r="M6" s="6" t="b">
        <v>1</v>
      </c>
      <c r="N6" s="6" t="b">
        <v>1</v>
      </c>
      <c r="O6" s="6" t="b">
        <v>1</v>
      </c>
      <c r="P6" s="6" t="b">
        <v>1</v>
      </c>
      <c r="Q6" s="6" t="b">
        <v>1</v>
      </c>
      <c r="R6" s="6" t="b">
        <v>1</v>
      </c>
      <c r="S6" s="6" t="b">
        <v>1</v>
      </c>
      <c r="T6" s="7">
        <v>1</v>
      </c>
      <c r="U6" s="4">
        <f t="shared" si="0"/>
        <v>17</v>
      </c>
      <c r="V6" s="4">
        <f t="shared" si="1"/>
        <v>0</v>
      </c>
      <c r="W6" s="1"/>
    </row>
    <row r="7" spans="1:23" ht="15.75" customHeight="1" x14ac:dyDescent="0.25">
      <c r="A7" s="5" t="str">
        <v>OPC</v>
      </c>
      <c r="B7" s="5" t="str">
        <v>PERCEVA</v>
      </c>
      <c r="C7" s="6" t="b">
        <v>1</v>
      </c>
      <c r="D7" s="6" t="b">
        <v>1</v>
      </c>
      <c r="E7" s="6" t="b">
        <v>1</v>
      </c>
      <c r="F7" s="6" t="b">
        <v>1</v>
      </c>
      <c r="G7" s="6" t="b">
        <v>1</v>
      </c>
      <c r="H7" s="6" t="b">
        <v>1</v>
      </c>
      <c r="I7" s="6" t="b">
        <v>1</v>
      </c>
      <c r="J7" s="6" t="b">
        <v>1</v>
      </c>
      <c r="K7" s="6" t="b">
        <v>1</v>
      </c>
      <c r="L7" s="6" t="b">
        <v>1</v>
      </c>
      <c r="M7" s="6" t="b">
        <v>1</v>
      </c>
      <c r="N7" s="6" t="b">
        <v>1</v>
      </c>
      <c r="O7" s="6" t="b">
        <v>1</v>
      </c>
      <c r="P7" s="6" t="b">
        <v>1</v>
      </c>
      <c r="Q7" s="6" t="b">
        <v>1</v>
      </c>
      <c r="R7" s="6" t="b">
        <v>1</v>
      </c>
      <c r="S7" s="6" t="b">
        <v>1</v>
      </c>
      <c r="T7" s="7">
        <v>1</v>
      </c>
      <c r="U7" s="4">
        <f t="shared" si="0"/>
        <v>17</v>
      </c>
      <c r="V7" s="4">
        <f t="shared" si="1"/>
        <v>0</v>
      </c>
      <c r="W7" s="2" t="s">
        <v>20</v>
      </c>
    </row>
    <row r="8" spans="1:23" ht="15.75" customHeight="1" x14ac:dyDescent="0.25">
      <c r="A8" s="5" t="str">
        <v>OPC</v>
      </c>
      <c r="B8" s="5" t="str">
        <v>NEYMER</v>
      </c>
      <c r="C8" s="6" t="b">
        <v>1</v>
      </c>
      <c r="D8" s="6" t="b">
        <v>1</v>
      </c>
      <c r="E8" s="6" t="b">
        <v>1</v>
      </c>
      <c r="F8" s="6" t="b">
        <v>1</v>
      </c>
      <c r="G8" s="6" t="b">
        <v>1</v>
      </c>
      <c r="H8" s="6" t="b">
        <v>1</v>
      </c>
      <c r="I8" s="6" t="b">
        <v>1</v>
      </c>
      <c r="J8" s="6" t="b">
        <v>1</v>
      </c>
      <c r="K8" s="6" t="b">
        <v>1</v>
      </c>
      <c r="L8" s="6" t="b">
        <v>1</v>
      </c>
      <c r="M8" s="6" t="b">
        <v>1</v>
      </c>
      <c r="N8" s="6" t="b">
        <v>1</v>
      </c>
      <c r="O8" s="6" t="b">
        <v>1</v>
      </c>
      <c r="P8" s="6" t="b">
        <v>1</v>
      </c>
      <c r="Q8" s="6" t="b">
        <v>1</v>
      </c>
      <c r="R8" s="6" t="b">
        <v>1</v>
      </c>
      <c r="S8" s="6" t="b">
        <v>1</v>
      </c>
      <c r="T8" s="7">
        <v>1</v>
      </c>
      <c r="U8" s="4">
        <f t="shared" si="0"/>
        <v>17</v>
      </c>
      <c r="V8" s="4">
        <f t="shared" si="1"/>
        <v>0</v>
      </c>
      <c r="W8" s="1"/>
    </row>
    <row r="9" spans="1:23" ht="15.75" customHeight="1" x14ac:dyDescent="0.25">
      <c r="A9" s="5" t="str">
        <v>OPC</v>
      </c>
      <c r="B9" s="5" t="str">
        <v>TRANSGUILLSA</v>
      </c>
      <c r="C9" s="6" t="b">
        <v>1</v>
      </c>
      <c r="D9" s="6" t="b">
        <v>1</v>
      </c>
      <c r="E9" s="6" t="b">
        <v>1</v>
      </c>
      <c r="F9" s="6" t="b">
        <v>1</v>
      </c>
      <c r="G9" s="6" t="b">
        <v>1</v>
      </c>
      <c r="H9" s="6" t="b">
        <v>1</v>
      </c>
      <c r="I9" s="6" t="b">
        <v>1</v>
      </c>
      <c r="J9" s="6" t="b">
        <v>1</v>
      </c>
      <c r="K9" s="6" t="b">
        <v>1</v>
      </c>
      <c r="L9" s="6" t="b">
        <v>1</v>
      </c>
      <c r="M9" s="6" t="b">
        <v>1</v>
      </c>
      <c r="N9" s="6" t="b">
        <v>1</v>
      </c>
      <c r="O9" s="6" t="b">
        <v>1</v>
      </c>
      <c r="P9" s="6" t="b">
        <v>1</v>
      </c>
      <c r="Q9" s="6" t="b">
        <v>1</v>
      </c>
      <c r="R9" s="6" t="b">
        <v>1</v>
      </c>
      <c r="S9" s="6" t="b">
        <v>1</v>
      </c>
      <c r="T9" s="7">
        <v>1</v>
      </c>
      <c r="U9" s="4">
        <f t="shared" si="0"/>
        <v>17</v>
      </c>
      <c r="V9" s="4">
        <f t="shared" si="1"/>
        <v>0</v>
      </c>
    </row>
    <row r="10" spans="1:23" ht="15.75" customHeight="1" x14ac:dyDescent="0.25">
      <c r="A10" s="5" t="str">
        <v>OPC</v>
      </c>
      <c r="B10" s="5" t="str">
        <v>CARGOPORT</v>
      </c>
      <c r="C10" s="6" t="b">
        <v>1</v>
      </c>
      <c r="D10" s="6" t="b">
        <v>1</v>
      </c>
      <c r="E10" s="6" t="b">
        <v>1</v>
      </c>
      <c r="F10" s="6" t="b">
        <v>1</v>
      </c>
      <c r="G10" s="6" t="b">
        <v>1</v>
      </c>
      <c r="H10" s="6" t="b">
        <v>1</v>
      </c>
      <c r="I10" s="6" t="b">
        <v>1</v>
      </c>
      <c r="J10" s="6" t="b">
        <v>1</v>
      </c>
      <c r="K10" s="6" t="b">
        <v>1</v>
      </c>
      <c r="L10" s="6" t="b">
        <v>1</v>
      </c>
      <c r="M10" s="6" t="b">
        <v>1</v>
      </c>
      <c r="N10" s="6" t="b">
        <v>0</v>
      </c>
      <c r="O10" s="6" t="b">
        <v>1</v>
      </c>
      <c r="P10" s="6" t="b">
        <v>1</v>
      </c>
      <c r="Q10" s="6" t="b">
        <v>1</v>
      </c>
      <c r="R10" s="6" t="b">
        <v>1</v>
      </c>
      <c r="S10" s="6" t="b">
        <v>1</v>
      </c>
      <c r="T10" s="7">
        <v>0.94117647058823528</v>
      </c>
      <c r="U10" s="4">
        <f t="shared" si="0"/>
        <v>16</v>
      </c>
      <c r="V10" s="4">
        <f t="shared" si="1"/>
        <v>1</v>
      </c>
      <c r="W10" s="1"/>
    </row>
    <row r="11" spans="1:23" ht="15.75" customHeight="1" x14ac:dyDescent="0.25">
      <c r="A11" s="5" t="str">
        <v>OPC</v>
      </c>
      <c r="B11" s="5" t="str">
        <v>AMC</v>
      </c>
      <c r="C11" s="6" t="b">
        <v>1</v>
      </c>
      <c r="D11" s="6" t="b">
        <v>1</v>
      </c>
      <c r="E11" s="6" t="b">
        <v>1</v>
      </c>
      <c r="F11" s="6" t="b">
        <v>1</v>
      </c>
      <c r="G11" s="6" t="b">
        <v>1</v>
      </c>
      <c r="H11" s="6" t="b">
        <v>1</v>
      </c>
      <c r="I11" s="6" t="b">
        <v>1</v>
      </c>
      <c r="J11" s="6" t="b">
        <v>1</v>
      </c>
      <c r="K11" s="6" t="b">
        <v>1</v>
      </c>
      <c r="L11" s="6" t="b">
        <v>1</v>
      </c>
      <c r="M11" s="6" t="b">
        <v>1</v>
      </c>
      <c r="N11" s="6" t="b">
        <v>1</v>
      </c>
      <c r="O11" s="6" t="b">
        <v>1</v>
      </c>
      <c r="P11" s="6" t="b">
        <v>1</v>
      </c>
      <c r="Q11" s="6" t="b">
        <v>1</v>
      </c>
      <c r="R11" s="6" t="b">
        <v>1</v>
      </c>
      <c r="S11" s="6" t="b">
        <v>1</v>
      </c>
      <c r="T11" s="7">
        <v>1</v>
      </c>
      <c r="U11" s="4">
        <f t="shared" si="0"/>
        <v>17</v>
      </c>
      <c r="V11" s="4">
        <f t="shared" si="1"/>
        <v>0</v>
      </c>
    </row>
    <row r="12" spans="1:23" ht="15.75" customHeight="1" x14ac:dyDescent="0.25">
      <c r="A12" s="5" t="str">
        <v>OPC</v>
      </c>
      <c r="B12" s="5" t="str">
        <v>GRUAS AATLAS</v>
      </c>
      <c r="C12" s="6" t="b">
        <v>1</v>
      </c>
      <c r="D12" s="6" t="b">
        <v>1</v>
      </c>
      <c r="E12" s="6" t="b">
        <v>1</v>
      </c>
      <c r="F12" s="6" t="b">
        <v>1</v>
      </c>
      <c r="G12" s="6" t="b">
        <v>1</v>
      </c>
      <c r="H12" s="6" t="b">
        <v>1</v>
      </c>
      <c r="I12" s="6" t="b">
        <v>1</v>
      </c>
      <c r="J12" s="6" t="b">
        <v>1</v>
      </c>
      <c r="K12" s="6" t="b">
        <v>1</v>
      </c>
      <c r="L12" s="6" t="b">
        <v>1</v>
      </c>
      <c r="M12" s="6" t="b">
        <v>1</v>
      </c>
      <c r="N12" s="6" t="b">
        <v>1</v>
      </c>
      <c r="O12" s="6" t="b">
        <v>1</v>
      </c>
      <c r="P12" s="6" t="b">
        <v>1</v>
      </c>
      <c r="Q12" s="6" t="b">
        <v>1</v>
      </c>
      <c r="R12" s="6" t="str">
        <v>NA</v>
      </c>
      <c r="S12" s="6" t="b">
        <v>1</v>
      </c>
      <c r="T12" s="7">
        <v>1</v>
      </c>
      <c r="U12" s="4">
        <f t="shared" si="0"/>
        <v>16</v>
      </c>
      <c r="V12" s="4">
        <f t="shared" si="1"/>
        <v>0</v>
      </c>
    </row>
    <row r="13" spans="1:23" ht="15.75" customHeight="1" x14ac:dyDescent="0.25">
      <c r="A13" s="5" t="str">
        <v>OPC</v>
      </c>
      <c r="B13" s="5" t="str">
        <v>ZAMCA</v>
      </c>
      <c r="C13" s="6" t="b">
        <v>1</v>
      </c>
      <c r="D13" s="6" t="b">
        <v>1</v>
      </c>
      <c r="E13" s="6" t="b">
        <v>1</v>
      </c>
      <c r="F13" s="6" t="b">
        <v>1</v>
      </c>
      <c r="G13" s="6" t="b">
        <v>1</v>
      </c>
      <c r="H13" s="6" t="b">
        <v>1</v>
      </c>
      <c r="I13" s="6" t="b">
        <v>1</v>
      </c>
      <c r="J13" s="6" t="b">
        <v>1</v>
      </c>
      <c r="K13" s="6" t="b">
        <v>1</v>
      </c>
      <c r="L13" s="6" t="b">
        <v>1</v>
      </c>
      <c r="M13" s="6" t="b">
        <v>1</v>
      </c>
      <c r="N13" s="6" t="str">
        <v>NA</v>
      </c>
      <c r="O13" s="6" t="b">
        <v>1</v>
      </c>
      <c r="P13" s="6" t="b">
        <v>1</v>
      </c>
      <c r="Q13" s="6" t="b">
        <v>1</v>
      </c>
      <c r="R13" s="6" t="b">
        <v>1</v>
      </c>
      <c r="S13" s="6" t="b">
        <v>0</v>
      </c>
      <c r="T13" s="7">
        <v>0.9375</v>
      </c>
      <c r="U13" s="4">
        <f t="shared" si="0"/>
        <v>15</v>
      </c>
      <c r="V13" s="4">
        <f t="shared" si="1"/>
        <v>1</v>
      </c>
      <c r="W13" s="1"/>
    </row>
    <row r="14" spans="1:23" ht="15.75" customHeight="1" x14ac:dyDescent="0.25">
      <c r="A14" s="5" t="str">
        <v>OPC</v>
      </c>
      <c r="B14" s="5" t="str">
        <v>SAGEMAR</v>
      </c>
      <c r="C14" s="6" t="b">
        <v>1</v>
      </c>
      <c r="D14" s="6" t="b">
        <v>1</v>
      </c>
      <c r="E14" s="6" t="b">
        <v>1</v>
      </c>
      <c r="F14" s="6" t="b">
        <v>1</v>
      </c>
      <c r="G14" s="6" t="b">
        <v>1</v>
      </c>
      <c r="H14" s="6" t="b">
        <v>1</v>
      </c>
      <c r="I14" s="6" t="b">
        <v>0</v>
      </c>
      <c r="J14" s="6" t="b">
        <v>1</v>
      </c>
      <c r="K14" s="6" t="b">
        <v>0</v>
      </c>
      <c r="L14" s="6" t="b">
        <v>1</v>
      </c>
      <c r="M14" s="6" t="b">
        <v>1</v>
      </c>
      <c r="N14" s="6" t="str">
        <v>NA</v>
      </c>
      <c r="O14" s="6" t="b">
        <v>1</v>
      </c>
      <c r="P14" s="6" t="b">
        <v>1</v>
      </c>
      <c r="Q14" s="6" t="str">
        <v>NA</v>
      </c>
      <c r="R14" s="6" t="str">
        <v>NA</v>
      </c>
      <c r="S14" s="6" t="str">
        <v>NA</v>
      </c>
      <c r="T14" s="7">
        <v>0.84615384615384615</v>
      </c>
      <c r="U14" s="4">
        <f t="shared" si="0"/>
        <v>11</v>
      </c>
      <c r="V14" s="4">
        <f t="shared" si="1"/>
        <v>2</v>
      </c>
    </row>
    <row r="15" spans="1:23" ht="15.75" customHeight="1" x14ac:dyDescent="0.25">
      <c r="A15" s="5" t="str">
        <v>OPC</v>
      </c>
      <c r="B15" s="5" t="str">
        <v>BADEMAR</v>
      </c>
      <c r="C15" s="6" t="b">
        <v>1</v>
      </c>
      <c r="D15" s="6" t="b">
        <v>1</v>
      </c>
      <c r="E15" s="6" t="b">
        <v>1</v>
      </c>
      <c r="F15" s="6" t="b">
        <v>1</v>
      </c>
      <c r="G15" s="6" t="b">
        <v>1</v>
      </c>
      <c r="H15" s="6" t="b">
        <v>1</v>
      </c>
      <c r="I15" s="6" t="b">
        <v>1</v>
      </c>
      <c r="J15" s="6" t="b">
        <v>1</v>
      </c>
      <c r="K15" s="6" t="b">
        <v>1</v>
      </c>
      <c r="L15" s="6" t="b">
        <v>1</v>
      </c>
      <c r="M15" s="6" t="b">
        <v>1</v>
      </c>
      <c r="N15" s="6" t="b">
        <v>1</v>
      </c>
      <c r="O15" s="6" t="b">
        <v>1</v>
      </c>
      <c r="P15" s="6" t="b">
        <v>1</v>
      </c>
      <c r="Q15" s="6" t="b">
        <v>1</v>
      </c>
      <c r="R15" s="6" t="b">
        <v>1</v>
      </c>
      <c r="S15" s="6" t="b">
        <v>1</v>
      </c>
      <c r="T15" s="7">
        <v>1</v>
      </c>
      <c r="U15" s="4">
        <f t="shared" si="0"/>
        <v>17</v>
      </c>
      <c r="V15" s="4">
        <f t="shared" si="1"/>
        <v>0</v>
      </c>
      <c r="W15" s="1"/>
    </row>
    <row r="16" spans="1:23" ht="15.75" customHeight="1" x14ac:dyDescent="0.25">
      <c r="A16" s="5" t="str">
        <v>OPC</v>
      </c>
      <c r="B16" s="5" t="str">
        <v>MONROY CARLOS</v>
      </c>
      <c r="C16" s="6" t="b">
        <v>1</v>
      </c>
      <c r="D16" s="6" t="b">
        <v>1</v>
      </c>
      <c r="E16" s="6" t="str">
        <v>NA</v>
      </c>
      <c r="F16" s="6" t="b">
        <v>1</v>
      </c>
      <c r="G16" s="6" t="str">
        <v>NA</v>
      </c>
      <c r="H16" s="6" t="b">
        <v>1</v>
      </c>
      <c r="I16" s="6" t="b">
        <v>1</v>
      </c>
      <c r="J16" s="6" t="b">
        <v>1</v>
      </c>
      <c r="K16" s="6" t="b">
        <v>1</v>
      </c>
      <c r="L16" s="6" t="b">
        <v>1</v>
      </c>
      <c r="M16" s="6" t="b">
        <v>1</v>
      </c>
      <c r="N16" s="6" t="b">
        <v>1</v>
      </c>
      <c r="O16" s="6" t="str">
        <v>NA</v>
      </c>
      <c r="P16" s="6" t="b">
        <v>1</v>
      </c>
      <c r="Q16" s="6" t="str">
        <v>NA</v>
      </c>
      <c r="R16" s="6" t="str">
        <v>NA</v>
      </c>
      <c r="S16" s="6" t="str">
        <v>NA</v>
      </c>
      <c r="T16" s="7">
        <v>1</v>
      </c>
      <c r="U16" s="4">
        <f t="shared" si="0"/>
        <v>11</v>
      </c>
      <c r="V16" s="4">
        <f t="shared" si="1"/>
        <v>0</v>
      </c>
    </row>
    <row r="17" spans="1:23" ht="15.75" customHeight="1" x14ac:dyDescent="0.25">
      <c r="A17" s="5" t="str">
        <v>OPC</v>
      </c>
      <c r="B17" s="5" t="str">
        <v>MOVINAUTILUS MM S.A.S.</v>
      </c>
      <c r="C17" s="6" t="b">
        <v>1</v>
      </c>
      <c r="D17" s="6" t="b">
        <v>1</v>
      </c>
      <c r="E17" s="6" t="b">
        <v>1</v>
      </c>
      <c r="F17" s="6" t="b">
        <v>1</v>
      </c>
      <c r="G17" s="6" t="b">
        <v>1</v>
      </c>
      <c r="H17" s="6" t="b">
        <v>1</v>
      </c>
      <c r="I17" s="6" t="b">
        <v>1</v>
      </c>
      <c r="J17" s="6" t="b">
        <v>1</v>
      </c>
      <c r="K17" s="6" t="b">
        <v>1</v>
      </c>
      <c r="L17" s="6" t="b">
        <v>1</v>
      </c>
      <c r="M17" s="6" t="b">
        <v>1</v>
      </c>
      <c r="N17" s="6" t="b">
        <v>1</v>
      </c>
      <c r="O17" s="6" t="b">
        <v>1</v>
      </c>
      <c r="P17" s="6" t="b">
        <v>1</v>
      </c>
      <c r="Q17" s="6" t="b">
        <v>1</v>
      </c>
      <c r="R17" s="6" t="b">
        <v>1</v>
      </c>
      <c r="S17" s="6" t="b">
        <v>1</v>
      </c>
      <c r="T17" s="7">
        <v>1</v>
      </c>
      <c r="U17" s="4">
        <f t="shared" si="0"/>
        <v>17</v>
      </c>
      <c r="V17" s="4">
        <f t="shared" si="1"/>
        <v>0</v>
      </c>
      <c r="W17" s="1"/>
    </row>
    <row r="18" spans="1:23" ht="15.75" customHeight="1" x14ac:dyDescent="0.25">
      <c r="A18" s="5" t="str">
        <v>OPC</v>
      </c>
      <c r="B18" s="5" t="str">
        <v>PANOIL</v>
      </c>
      <c r="C18" s="6" t="b">
        <v>1</v>
      </c>
      <c r="D18" s="6" t="b">
        <v>1</v>
      </c>
      <c r="E18" s="6" t="b">
        <v>1</v>
      </c>
      <c r="F18" s="6" t="b">
        <v>1</v>
      </c>
      <c r="G18" s="6" t="b">
        <v>1</v>
      </c>
      <c r="H18" s="6" t="b">
        <v>1</v>
      </c>
      <c r="I18" s="6" t="b">
        <v>1</v>
      </c>
      <c r="J18" s="6" t="b">
        <v>1</v>
      </c>
      <c r="K18" s="6" t="b">
        <v>1</v>
      </c>
      <c r="L18" s="6" t="b">
        <v>1</v>
      </c>
      <c r="M18" s="6" t="b">
        <v>1</v>
      </c>
      <c r="N18" s="6" t="b">
        <v>1</v>
      </c>
      <c r="O18" s="6" t="str">
        <v>NA</v>
      </c>
      <c r="P18" s="6" t="b">
        <v>1</v>
      </c>
      <c r="Q18" s="6" t="b">
        <v>1</v>
      </c>
      <c r="R18" s="6" t="str">
        <v>NA</v>
      </c>
      <c r="S18" s="6" t="str">
        <v>NA</v>
      </c>
      <c r="T18" s="7">
        <v>1</v>
      </c>
      <c r="U18" s="4">
        <f t="shared" si="0"/>
        <v>14</v>
      </c>
      <c r="V18" s="4">
        <f t="shared" si="1"/>
        <v>0</v>
      </c>
    </row>
    <row r="19" spans="1:23" ht="15.75" customHeight="1" x14ac:dyDescent="0.25">
      <c r="A19" s="5" t="str">
        <v>OPC</v>
      </c>
      <c r="B19" s="5" t="str">
        <v>INMULSERV S.A.S.</v>
      </c>
      <c r="C19" s="6" t="b">
        <v>1</v>
      </c>
      <c r="D19" s="6" t="b">
        <v>1</v>
      </c>
      <c r="E19" s="6" t="b">
        <v>1</v>
      </c>
      <c r="F19" s="6" t="b">
        <v>1</v>
      </c>
      <c r="G19" s="6" t="b">
        <v>1</v>
      </c>
      <c r="H19" s="6" t="b">
        <v>1</v>
      </c>
      <c r="I19" s="6" t="b">
        <v>1</v>
      </c>
      <c r="J19" s="6" t="b">
        <v>1</v>
      </c>
      <c r="K19" s="6" t="b">
        <v>1</v>
      </c>
      <c r="L19" s="6" t="b">
        <v>1</v>
      </c>
      <c r="M19" s="6" t="b">
        <v>1</v>
      </c>
      <c r="N19" s="6" t="b">
        <v>1</v>
      </c>
      <c r="O19" s="6" t="b">
        <v>1</v>
      </c>
      <c r="P19" s="6" t="b">
        <v>1</v>
      </c>
      <c r="Q19" s="6" t="b">
        <v>1</v>
      </c>
      <c r="R19" s="6" t="str">
        <v>NA</v>
      </c>
      <c r="S19" s="6" t="str">
        <v>NA</v>
      </c>
      <c r="T19" s="7">
        <v>1</v>
      </c>
      <c r="U19" s="4">
        <f t="shared" si="0"/>
        <v>15</v>
      </c>
      <c r="V19" s="4">
        <f t="shared" si="1"/>
        <v>0</v>
      </c>
    </row>
    <row r="20" spans="1:23" ht="15.75" customHeight="1" x14ac:dyDescent="0.25">
      <c r="A20" s="5" t="str">
        <v>OPC</v>
      </c>
      <c r="B20" s="5" t="str">
        <v>ECUADORIAN</v>
      </c>
      <c r="C20" s="6" t="b">
        <v>1</v>
      </c>
      <c r="D20" s="6" t="b">
        <v>1</v>
      </c>
      <c r="E20" s="6" t="b">
        <v>1</v>
      </c>
      <c r="F20" s="6" t="b">
        <v>1</v>
      </c>
      <c r="G20" s="6" t="b">
        <v>1</v>
      </c>
      <c r="H20" s="6" t="b">
        <v>1</v>
      </c>
      <c r="I20" s="6" t="b">
        <v>1</v>
      </c>
      <c r="J20" s="6" t="b">
        <v>1</v>
      </c>
      <c r="K20" s="6" t="b">
        <v>1</v>
      </c>
      <c r="L20" s="6" t="b">
        <v>1</v>
      </c>
      <c r="M20" s="6" t="b">
        <v>1</v>
      </c>
      <c r="N20" s="6" t="str">
        <v>NA</v>
      </c>
      <c r="O20" s="6" t="str">
        <v>NA</v>
      </c>
      <c r="P20" s="6" t="b">
        <v>1</v>
      </c>
      <c r="Q20" s="6" t="b">
        <v>1</v>
      </c>
      <c r="R20" s="6" t="str">
        <v>NA</v>
      </c>
      <c r="S20" s="6" t="str">
        <v>NA</v>
      </c>
      <c r="T20" s="7">
        <v>1</v>
      </c>
      <c r="U20" s="4">
        <f t="shared" si="0"/>
        <v>13</v>
      </c>
      <c r="V20" s="4">
        <f t="shared" si="1"/>
        <v>0</v>
      </c>
    </row>
    <row r="21" spans="1:23" ht="15.75" customHeight="1" x14ac:dyDescent="0.25">
      <c r="A21" s="5" t="str" cm="1">
        <f t="array" ref="A21:T48">[1]IND!$A$6:$T$33</f>
        <v>SEG FISICA</v>
      </c>
      <c r="B21" s="5" t="str">
        <v>LIDERMAN</v>
      </c>
      <c r="C21" s="6" t="b">
        <v>1</v>
      </c>
      <c r="D21" s="6" t="b">
        <v>1</v>
      </c>
      <c r="E21" s="6" t="b">
        <v>1</v>
      </c>
      <c r="F21" s="6" t="b">
        <v>1</v>
      </c>
      <c r="G21" s="6" t="b">
        <v>1</v>
      </c>
      <c r="H21" s="6" t="b">
        <v>1</v>
      </c>
      <c r="I21" s="6" t="b">
        <v>1</v>
      </c>
      <c r="J21" s="6" t="b">
        <v>1</v>
      </c>
      <c r="K21" s="6" t="b">
        <v>0</v>
      </c>
      <c r="L21" s="6" t="b">
        <v>1</v>
      </c>
      <c r="M21" s="6" t="b">
        <v>1</v>
      </c>
      <c r="N21" s="6" t="str">
        <v>NA</v>
      </c>
      <c r="O21" s="6" t="b">
        <v>1</v>
      </c>
      <c r="P21" s="6" t="b">
        <v>0</v>
      </c>
      <c r="Q21" s="6" t="str">
        <v>NA</v>
      </c>
      <c r="R21" s="6" t="b">
        <v>1</v>
      </c>
      <c r="S21" s="6" t="b">
        <v>1</v>
      </c>
      <c r="T21" s="7">
        <v>0.8666666666666667</v>
      </c>
      <c r="U21" s="4">
        <f t="shared" si="0"/>
        <v>13</v>
      </c>
      <c r="V21" s="4">
        <f t="shared" si="1"/>
        <v>2</v>
      </c>
      <c r="W21" s="1"/>
    </row>
    <row r="22" spans="1:23" ht="15.75" customHeight="1" x14ac:dyDescent="0.25">
      <c r="A22" s="5" t="str">
        <v>SEG FISICA</v>
      </c>
      <c r="B22" s="5" t="str">
        <v>ALEX OSWALDO</v>
      </c>
      <c r="C22" s="6" t="b">
        <v>1</v>
      </c>
      <c r="D22" s="6" t="str">
        <v>NA</v>
      </c>
      <c r="E22" s="6" t="str">
        <v>NA</v>
      </c>
      <c r="F22" s="6" t="b">
        <v>1</v>
      </c>
      <c r="G22" s="6" t="str">
        <v>NA</v>
      </c>
      <c r="H22" s="6" t="b">
        <v>1</v>
      </c>
      <c r="I22" s="6" t="b">
        <v>1</v>
      </c>
      <c r="J22" s="6" t="b">
        <v>1</v>
      </c>
      <c r="K22" s="6" t="b">
        <v>1</v>
      </c>
      <c r="L22" s="6" t="b">
        <v>1</v>
      </c>
      <c r="M22" s="6" t="b">
        <v>1</v>
      </c>
      <c r="N22" s="6" t="str">
        <v>NA</v>
      </c>
      <c r="O22" s="6" t="str">
        <v>NA</v>
      </c>
      <c r="P22" s="6" t="b">
        <v>1</v>
      </c>
      <c r="Q22" s="6" t="str">
        <v>NA</v>
      </c>
      <c r="R22" s="6" t="str">
        <v>NA</v>
      </c>
      <c r="S22" s="6" t="str">
        <v>NA</v>
      </c>
      <c r="T22" s="7">
        <v>1</v>
      </c>
      <c r="U22" s="4">
        <f t="shared" si="0"/>
        <v>9</v>
      </c>
      <c r="V22" s="4">
        <f t="shared" si="1"/>
        <v>0</v>
      </c>
    </row>
    <row r="23" spans="1:23" ht="15.75" customHeight="1" x14ac:dyDescent="0.25">
      <c r="A23" s="5" t="str">
        <v>SEG INDUS</v>
      </c>
      <c r="B23" s="5" t="str">
        <v>IPSOMARY</v>
      </c>
      <c r="C23" s="6" t="b">
        <v>1</v>
      </c>
      <c r="D23" s="6" t="str">
        <v>NA</v>
      </c>
      <c r="E23" s="6" t="b">
        <v>1</v>
      </c>
      <c r="F23" s="6" t="b">
        <v>1</v>
      </c>
      <c r="G23" s="6" t="b">
        <v>1</v>
      </c>
      <c r="H23" s="6" t="b">
        <v>1</v>
      </c>
      <c r="I23" s="6" t="b">
        <v>1</v>
      </c>
      <c r="J23" s="6" t="b">
        <v>1</v>
      </c>
      <c r="K23" s="6" t="b">
        <v>0</v>
      </c>
      <c r="L23" s="6" t="b">
        <v>1</v>
      </c>
      <c r="M23" s="6" t="b">
        <v>1</v>
      </c>
      <c r="N23" s="6" t="b">
        <v>1</v>
      </c>
      <c r="O23" s="6" t="str">
        <v>NA</v>
      </c>
      <c r="P23" s="6" t="b">
        <v>1</v>
      </c>
      <c r="Q23" s="6" t="str">
        <v>NA</v>
      </c>
      <c r="R23" s="6" t="str">
        <v>NA</v>
      </c>
      <c r="S23" s="6" t="str">
        <v>NA</v>
      </c>
      <c r="T23" s="7">
        <v>0.91666666666666663</v>
      </c>
      <c r="U23" s="4">
        <f t="shared" si="0"/>
        <v>11</v>
      </c>
      <c r="V23" s="4">
        <f t="shared" si="1"/>
        <v>1</v>
      </c>
      <c r="W23" s="1"/>
    </row>
    <row r="24" spans="1:23" ht="15.75" customHeight="1" x14ac:dyDescent="0.25">
      <c r="A24" s="5" t="str">
        <v>SEG INDUS</v>
      </c>
      <c r="B24" s="5" t="str">
        <v>DOUTINO</v>
      </c>
      <c r="C24" s="6" t="b">
        <v>1</v>
      </c>
      <c r="D24" s="6" t="str">
        <v>NA</v>
      </c>
      <c r="E24" s="6" t="b">
        <v>1</v>
      </c>
      <c r="F24" s="6" t="b">
        <v>1</v>
      </c>
      <c r="G24" s="6" t="b">
        <v>1</v>
      </c>
      <c r="H24" s="6" t="b">
        <v>1</v>
      </c>
      <c r="I24" s="6" t="b">
        <v>1</v>
      </c>
      <c r="J24" s="6" t="b">
        <v>0</v>
      </c>
      <c r="K24" s="6" t="b">
        <v>1</v>
      </c>
      <c r="L24" s="6" t="b">
        <v>1</v>
      </c>
      <c r="M24" s="6" t="b">
        <v>1</v>
      </c>
      <c r="N24" s="6" t="str">
        <v>NA</v>
      </c>
      <c r="O24" s="6" t="str">
        <v>NA</v>
      </c>
      <c r="P24" s="6" t="b">
        <v>0</v>
      </c>
      <c r="Q24" s="6" t="str">
        <v>NA</v>
      </c>
      <c r="R24" s="6" t="str">
        <v>NA</v>
      </c>
      <c r="S24" s="6" t="str">
        <v>NA</v>
      </c>
      <c r="T24" s="7">
        <v>0.81818181818181823</v>
      </c>
      <c r="U24" s="4">
        <f t="shared" si="0"/>
        <v>9</v>
      </c>
      <c r="V24" s="4">
        <f t="shared" si="1"/>
        <v>2</v>
      </c>
      <c r="W24" s="1"/>
    </row>
    <row r="25" spans="1:23" ht="15.75" customHeight="1" x14ac:dyDescent="0.25">
      <c r="A25" s="5" t="str">
        <v>SEG INDUS</v>
      </c>
      <c r="B25" s="5" t="str">
        <v>SEPRO</v>
      </c>
      <c r="C25" s="6" t="b">
        <v>1</v>
      </c>
      <c r="D25" s="6" t="str">
        <v>NA</v>
      </c>
      <c r="E25" s="6" t="str">
        <v>NA</v>
      </c>
      <c r="F25" s="6" t="b">
        <v>1</v>
      </c>
      <c r="G25" s="6" t="str">
        <v>NA</v>
      </c>
      <c r="H25" s="6" t="b">
        <v>1</v>
      </c>
      <c r="I25" s="6" t="b">
        <v>1</v>
      </c>
      <c r="J25" s="6" t="b">
        <v>1</v>
      </c>
      <c r="K25" s="6" t="b">
        <v>1</v>
      </c>
      <c r="L25" s="6" t="b">
        <v>1</v>
      </c>
      <c r="M25" s="6" t="b">
        <v>1</v>
      </c>
      <c r="N25" s="6" t="b">
        <v>1</v>
      </c>
      <c r="O25" s="6" t="str">
        <v>NA</v>
      </c>
      <c r="P25" s="6" t="b">
        <v>1</v>
      </c>
      <c r="Q25" s="6" t="str">
        <v>NA</v>
      </c>
      <c r="R25" s="6" t="str">
        <v>NA</v>
      </c>
      <c r="S25" s="6" t="str">
        <v>NA</v>
      </c>
      <c r="T25" s="7">
        <v>1</v>
      </c>
      <c r="U25" s="4">
        <f t="shared" si="0"/>
        <v>10</v>
      </c>
      <c r="V25" s="4">
        <f t="shared" si="1"/>
        <v>0</v>
      </c>
      <c r="W25" s="1"/>
    </row>
    <row r="26" spans="1:23" ht="15.75" customHeight="1" x14ac:dyDescent="0.25">
      <c r="A26" s="5" t="str">
        <v>SEG INDUS</v>
      </c>
      <c r="B26" s="5" t="str">
        <v>EXTINFIRE</v>
      </c>
      <c r="C26" s="6" t="b">
        <v>1</v>
      </c>
      <c r="D26" s="6" t="str">
        <v>NA</v>
      </c>
      <c r="E26" s="6" t="b">
        <v>1</v>
      </c>
      <c r="F26" s="6" t="b">
        <v>1</v>
      </c>
      <c r="G26" s="6" t="b">
        <v>1</v>
      </c>
      <c r="H26" s="6" t="b">
        <v>1</v>
      </c>
      <c r="I26" s="6" t="b">
        <v>1</v>
      </c>
      <c r="J26" s="6" t="b">
        <v>1</v>
      </c>
      <c r="K26" s="6" t="b">
        <v>1</v>
      </c>
      <c r="L26" s="6" t="b">
        <v>1</v>
      </c>
      <c r="M26" s="6" t="b">
        <v>1</v>
      </c>
      <c r="N26" s="6" t="str">
        <v>NA</v>
      </c>
      <c r="O26" s="6" t="str">
        <v>NA</v>
      </c>
      <c r="P26" s="6" t="b">
        <v>1</v>
      </c>
      <c r="Q26" s="6" t="str">
        <v>NA</v>
      </c>
      <c r="R26" s="6" t="str">
        <v>NA</v>
      </c>
      <c r="S26" s="6" t="str">
        <v>NA</v>
      </c>
      <c r="T26" s="7">
        <v>1</v>
      </c>
      <c r="U26" s="4">
        <f t="shared" si="0"/>
        <v>11</v>
      </c>
      <c r="V26" s="4">
        <f t="shared" si="1"/>
        <v>0</v>
      </c>
      <c r="W26" s="1"/>
    </row>
    <row r="27" spans="1:23" ht="15.75" customHeight="1" x14ac:dyDescent="0.25">
      <c r="A27" s="5" t="str">
        <v>SEG INDUS</v>
      </c>
      <c r="B27" s="5" t="str">
        <v>RIZOBACTER</v>
      </c>
      <c r="C27" s="6" t="b">
        <v>1</v>
      </c>
      <c r="D27" s="6" t="str">
        <v>NA</v>
      </c>
      <c r="E27" s="6" t="b">
        <v>1</v>
      </c>
      <c r="F27" s="6" t="b">
        <v>1</v>
      </c>
      <c r="G27" s="6" t="b">
        <v>1</v>
      </c>
      <c r="H27" s="6" t="b">
        <v>1</v>
      </c>
      <c r="I27" s="6" t="b">
        <v>1</v>
      </c>
      <c r="J27" s="6" t="b">
        <v>1</v>
      </c>
      <c r="K27" s="6" t="b">
        <v>0</v>
      </c>
      <c r="L27" s="6" t="b">
        <v>1</v>
      </c>
      <c r="M27" s="6" t="b">
        <v>1</v>
      </c>
      <c r="N27" s="6" t="b">
        <v>1</v>
      </c>
      <c r="O27" s="6" t="str">
        <v>NA</v>
      </c>
      <c r="P27" s="6" t="b">
        <v>1</v>
      </c>
      <c r="Q27" s="6" t="str">
        <v>NA</v>
      </c>
      <c r="R27" s="6" t="str">
        <v>NA</v>
      </c>
      <c r="S27" s="6" t="str">
        <v>NA</v>
      </c>
      <c r="T27" s="7">
        <v>0.91666666666666663</v>
      </c>
      <c r="U27" s="4">
        <f t="shared" si="0"/>
        <v>11</v>
      </c>
      <c r="V27" s="4">
        <f t="shared" si="1"/>
        <v>1</v>
      </c>
      <c r="W27" s="1"/>
    </row>
    <row r="28" spans="1:23" ht="15.75" customHeight="1" x14ac:dyDescent="0.25">
      <c r="A28" s="5" t="str">
        <v>RRHH</v>
      </c>
      <c r="B28" s="5" t="str">
        <v>CHEFSERVICE</v>
      </c>
      <c r="C28" s="6" t="b">
        <v>1</v>
      </c>
      <c r="D28" s="6" t="str">
        <v>NA</v>
      </c>
      <c r="E28" s="6" t="b">
        <v>1</v>
      </c>
      <c r="F28" s="6" t="b">
        <v>1</v>
      </c>
      <c r="G28" s="6" t="b">
        <v>1</v>
      </c>
      <c r="H28" s="6" t="b">
        <v>1</v>
      </c>
      <c r="I28" s="6" t="b">
        <v>1</v>
      </c>
      <c r="J28" s="6" t="b">
        <v>1</v>
      </c>
      <c r="K28" s="6" t="b">
        <v>0</v>
      </c>
      <c r="L28" s="6" t="b">
        <v>1</v>
      </c>
      <c r="M28" s="6" t="b">
        <v>1</v>
      </c>
      <c r="N28" s="6" t="str">
        <v>NA</v>
      </c>
      <c r="O28" s="6" t="str">
        <v>NA</v>
      </c>
      <c r="P28" s="6" t="b">
        <v>1</v>
      </c>
      <c r="Q28" s="6" t="str">
        <v>NA</v>
      </c>
      <c r="R28" s="6" t="str">
        <v>NA</v>
      </c>
      <c r="S28" s="6" t="str">
        <v>NA</v>
      </c>
      <c r="T28" s="7">
        <v>0.90909090909090906</v>
      </c>
      <c r="U28" s="4">
        <f t="shared" si="0"/>
        <v>10</v>
      </c>
      <c r="V28" s="4">
        <f t="shared" si="1"/>
        <v>1</v>
      </c>
    </row>
    <row r="29" spans="1:23" ht="15.75" customHeight="1" x14ac:dyDescent="0.25">
      <c r="A29" s="5" t="str">
        <v>RRHH</v>
      </c>
      <c r="B29" s="5" t="str">
        <v>INTEGRAL GROUP</v>
      </c>
      <c r="C29" s="6" t="b">
        <v>1</v>
      </c>
      <c r="D29" s="6" t="str">
        <v>NA</v>
      </c>
      <c r="E29" s="6" t="b">
        <v>1</v>
      </c>
      <c r="F29" s="6" t="b">
        <v>1</v>
      </c>
      <c r="G29" s="6" t="b">
        <v>1</v>
      </c>
      <c r="H29" s="6" t="b">
        <v>1</v>
      </c>
      <c r="I29" s="6" t="b">
        <v>1</v>
      </c>
      <c r="J29" s="6" t="b">
        <v>1</v>
      </c>
      <c r="K29" s="6" t="b">
        <v>0</v>
      </c>
      <c r="L29" s="6" t="b">
        <v>1</v>
      </c>
      <c r="M29" s="6" t="b">
        <v>1</v>
      </c>
      <c r="N29" s="6" t="str">
        <v>NA</v>
      </c>
      <c r="O29" s="6" t="str">
        <v>NA</v>
      </c>
      <c r="P29" s="6" t="b">
        <v>1</v>
      </c>
      <c r="Q29" s="6" t="str">
        <v>NA</v>
      </c>
      <c r="R29" s="6" t="str">
        <v>NA</v>
      </c>
      <c r="S29" s="6" t="str">
        <v>NA</v>
      </c>
      <c r="T29" s="7">
        <v>0.90909090909090906</v>
      </c>
      <c r="U29" s="4">
        <f t="shared" si="0"/>
        <v>10</v>
      </c>
      <c r="V29" s="4">
        <f t="shared" si="1"/>
        <v>1</v>
      </c>
      <c r="W29" s="1"/>
    </row>
    <row r="30" spans="1:23" ht="15.75" customHeight="1" x14ac:dyDescent="0.25">
      <c r="A30" s="5" t="str">
        <v>RRHH</v>
      </c>
      <c r="B30" s="5" t="str">
        <v>BIOLABORATORIO</v>
      </c>
      <c r="C30" s="6" t="b">
        <v>0</v>
      </c>
      <c r="D30" s="6" t="str">
        <v>NA</v>
      </c>
      <c r="E30" s="6" t="b">
        <v>1</v>
      </c>
      <c r="F30" s="6" t="b">
        <v>0</v>
      </c>
      <c r="G30" s="6" t="b">
        <v>1</v>
      </c>
      <c r="H30" s="6" t="b">
        <v>1</v>
      </c>
      <c r="I30" s="6" t="b">
        <v>1</v>
      </c>
      <c r="J30" s="6" t="str">
        <v>NA</v>
      </c>
      <c r="K30" s="6" t="b">
        <v>1</v>
      </c>
      <c r="L30" s="6" t="b">
        <v>1</v>
      </c>
      <c r="M30" s="6" t="b">
        <v>1</v>
      </c>
      <c r="N30" s="6" t="str">
        <v>NA</v>
      </c>
      <c r="O30" s="6" t="str">
        <v>NA</v>
      </c>
      <c r="P30" s="6" t="b">
        <v>1</v>
      </c>
      <c r="Q30" s="6" t="str">
        <v>NA</v>
      </c>
      <c r="R30" s="6" t="str">
        <v>NA</v>
      </c>
      <c r="S30" s="6" t="str">
        <v>NA</v>
      </c>
      <c r="T30" s="7">
        <v>0.8</v>
      </c>
      <c r="U30" s="4">
        <f t="shared" si="0"/>
        <v>8</v>
      </c>
      <c r="V30" s="4">
        <f t="shared" si="1"/>
        <v>2</v>
      </c>
      <c r="W30" s="1"/>
    </row>
    <row r="31" spans="1:23" ht="15.75" customHeight="1" x14ac:dyDescent="0.25">
      <c r="A31" s="5" t="str">
        <v>RRHH</v>
      </c>
      <c r="B31" s="5" t="str">
        <v>LADINES  JAQUELINE</v>
      </c>
      <c r="C31" s="6" t="b">
        <v>1</v>
      </c>
      <c r="D31" s="6" t="str">
        <v>NA</v>
      </c>
      <c r="E31" s="6" t="str">
        <v>NA</v>
      </c>
      <c r="F31" s="6" t="b">
        <v>1</v>
      </c>
      <c r="G31" s="6" t="str">
        <v>NA</v>
      </c>
      <c r="H31" s="6" t="b">
        <v>1</v>
      </c>
      <c r="I31" s="6" t="b">
        <v>1</v>
      </c>
      <c r="J31" s="6" t="b">
        <v>0</v>
      </c>
      <c r="K31" s="6" t="b">
        <v>1</v>
      </c>
      <c r="L31" s="6" t="b">
        <v>1</v>
      </c>
      <c r="M31" s="6" t="b">
        <v>1</v>
      </c>
      <c r="N31" s="6" t="str">
        <v>NA</v>
      </c>
      <c r="O31" s="6" t="str">
        <v>NA</v>
      </c>
      <c r="P31" s="6" t="b">
        <v>0</v>
      </c>
      <c r="Q31" s="6" t="str">
        <v>NA</v>
      </c>
      <c r="R31" s="6" t="str">
        <v>NA</v>
      </c>
      <c r="S31" s="6" t="str">
        <v>NA</v>
      </c>
      <c r="T31" s="7">
        <v>0.77777777777777779</v>
      </c>
      <c r="U31" s="4">
        <f t="shared" si="0"/>
        <v>7</v>
      </c>
      <c r="V31" s="4">
        <f t="shared" si="1"/>
        <v>2</v>
      </c>
      <c r="W31" s="1"/>
    </row>
    <row r="32" spans="1:23" ht="15.75" customHeight="1" x14ac:dyDescent="0.25">
      <c r="A32" s="5" t="str">
        <v>RRHH</v>
      </c>
      <c r="B32" s="5" t="str">
        <v>YUQUI KEVIN</v>
      </c>
      <c r="C32" s="6" t="b">
        <v>1</v>
      </c>
      <c r="D32" s="6" t="str">
        <v>NA</v>
      </c>
      <c r="E32" s="6" t="str">
        <v>NA</v>
      </c>
      <c r="F32" s="6" t="b">
        <v>1</v>
      </c>
      <c r="G32" s="6" t="str">
        <v>NA</v>
      </c>
      <c r="H32" s="6" t="b">
        <v>0</v>
      </c>
      <c r="I32" s="6" t="b">
        <v>0</v>
      </c>
      <c r="J32" s="6" t="b">
        <v>0</v>
      </c>
      <c r="K32" s="6" t="b">
        <v>1</v>
      </c>
      <c r="L32" s="6" t="b">
        <v>1</v>
      </c>
      <c r="M32" s="6" t="b">
        <v>1</v>
      </c>
      <c r="N32" s="6" t="str">
        <v>NA</v>
      </c>
      <c r="O32" s="6" t="str">
        <v>NA</v>
      </c>
      <c r="P32" s="6" t="b">
        <v>0</v>
      </c>
      <c r="Q32" s="6" t="str">
        <v>NA</v>
      </c>
      <c r="R32" s="6" t="str">
        <v>NA</v>
      </c>
      <c r="S32" s="6" t="str">
        <v>NA</v>
      </c>
      <c r="T32" s="7">
        <v>0.55555555555555558</v>
      </c>
      <c r="U32" s="4">
        <f t="shared" si="0"/>
        <v>5</v>
      </c>
      <c r="V32" s="4">
        <f t="shared" si="1"/>
        <v>4</v>
      </c>
    </row>
    <row r="33" spans="1:23" ht="15.75" customHeight="1" x14ac:dyDescent="0.25">
      <c r="A33" s="5" t="str">
        <v>RRHH</v>
      </c>
      <c r="B33" s="5" t="str">
        <v>GUERRERO CAROL</v>
      </c>
      <c r="C33" s="6" t="b">
        <v>1</v>
      </c>
      <c r="D33" s="6" t="str">
        <v>NA</v>
      </c>
      <c r="E33" s="6" t="str">
        <v>NA</v>
      </c>
      <c r="F33" s="6" t="b">
        <v>1</v>
      </c>
      <c r="G33" s="6" t="str">
        <v>NA</v>
      </c>
      <c r="H33" s="6" t="b">
        <v>0</v>
      </c>
      <c r="I33" s="6" t="b">
        <v>1</v>
      </c>
      <c r="J33" s="6" t="b">
        <v>1</v>
      </c>
      <c r="K33" s="6" t="b">
        <v>1</v>
      </c>
      <c r="L33" s="6" t="b">
        <v>1</v>
      </c>
      <c r="M33" s="6" t="b">
        <v>1</v>
      </c>
      <c r="N33" s="6" t="str">
        <v>NA</v>
      </c>
      <c r="O33" s="6" t="str">
        <v>NA</v>
      </c>
      <c r="P33" s="6" t="b">
        <v>1</v>
      </c>
      <c r="Q33" s="6" t="str">
        <v>NA</v>
      </c>
      <c r="R33" s="6" t="str">
        <v>NA</v>
      </c>
      <c r="S33" s="6" t="str">
        <v>NA</v>
      </c>
      <c r="T33" s="7">
        <v>0.88888888888888884</v>
      </c>
      <c r="U33" s="4">
        <f t="shared" si="0"/>
        <v>8</v>
      </c>
      <c r="V33" s="4">
        <f t="shared" si="1"/>
        <v>1</v>
      </c>
      <c r="W33" s="1"/>
    </row>
    <row r="34" spans="1:23" ht="15.75" customHeight="1" x14ac:dyDescent="0.25">
      <c r="A34" s="5" t="str">
        <v>RRHH</v>
      </c>
      <c r="B34" s="5" t="str">
        <v>MURILLO RENE</v>
      </c>
      <c r="C34" s="6" t="b">
        <v>1</v>
      </c>
      <c r="D34" s="6" t="str">
        <v>NA</v>
      </c>
      <c r="E34" s="6" t="str">
        <v>NA</v>
      </c>
      <c r="F34" s="6" t="b">
        <v>1</v>
      </c>
      <c r="G34" s="6" t="str">
        <v>NA</v>
      </c>
      <c r="H34" s="6" t="b">
        <v>0</v>
      </c>
      <c r="I34" s="6" t="b">
        <v>1</v>
      </c>
      <c r="J34" s="6" t="b">
        <v>1</v>
      </c>
      <c r="K34" s="6" t="b">
        <v>1</v>
      </c>
      <c r="L34" s="6" t="b">
        <v>1</v>
      </c>
      <c r="M34" s="6" t="b">
        <v>1</v>
      </c>
      <c r="N34" s="6" t="str">
        <v>NA</v>
      </c>
      <c r="O34" s="6" t="str">
        <v>NA</v>
      </c>
      <c r="P34" s="6" t="b">
        <v>1</v>
      </c>
      <c r="Q34" s="6" t="str">
        <v>NA</v>
      </c>
      <c r="R34" s="6" t="str">
        <v>NA</v>
      </c>
      <c r="S34" s="6" t="str">
        <v>NA</v>
      </c>
      <c r="T34" s="7">
        <v>0.88888888888888884</v>
      </c>
      <c r="U34" s="4">
        <f t="shared" si="0"/>
        <v>8</v>
      </c>
      <c r="V34" s="4">
        <f t="shared" si="1"/>
        <v>1</v>
      </c>
      <c r="W34" s="1"/>
    </row>
    <row r="35" spans="1:23" ht="15.75" customHeight="1" x14ac:dyDescent="0.25">
      <c r="A35" s="5" t="str">
        <v>TI</v>
      </c>
      <c r="B35" s="5" t="str">
        <v>SERPROIM</v>
      </c>
      <c r="C35" s="6" t="b">
        <v>1</v>
      </c>
      <c r="D35" s="6" t="str">
        <v>NA</v>
      </c>
      <c r="E35" s="6" t="b">
        <v>1</v>
      </c>
      <c r="F35" s="6" t="b">
        <v>1</v>
      </c>
      <c r="G35" s="6" t="b">
        <v>1</v>
      </c>
      <c r="H35" s="6" t="b">
        <v>1</v>
      </c>
      <c r="I35" s="6" t="b">
        <v>1</v>
      </c>
      <c r="J35" s="6" t="b">
        <v>1</v>
      </c>
      <c r="K35" s="6" t="b">
        <v>1</v>
      </c>
      <c r="L35" s="6" t="b">
        <v>1</v>
      </c>
      <c r="M35" s="6" t="b">
        <v>1</v>
      </c>
      <c r="N35" s="6" t="str">
        <v>NA</v>
      </c>
      <c r="O35" s="6" t="str">
        <v>NA</v>
      </c>
      <c r="P35" s="6" t="b">
        <v>1</v>
      </c>
      <c r="Q35" s="6" t="str">
        <v>NA</v>
      </c>
      <c r="R35" s="6" t="str">
        <v>NA</v>
      </c>
      <c r="S35" s="6" t="str">
        <v>NA</v>
      </c>
      <c r="T35" s="7">
        <v>1</v>
      </c>
      <c r="U35" s="4">
        <f t="shared" si="0"/>
        <v>11</v>
      </c>
      <c r="V35" s="4">
        <f t="shared" si="1"/>
        <v>0</v>
      </c>
    </row>
    <row r="36" spans="1:23" ht="15.75" customHeight="1" x14ac:dyDescent="0.25">
      <c r="A36" s="5" t="str">
        <v>TI</v>
      </c>
      <c r="B36" s="5" t="str">
        <v>SEGUDATOS</v>
      </c>
      <c r="C36" s="6" t="b">
        <v>1</v>
      </c>
      <c r="D36" s="6" t="str">
        <v>NA</v>
      </c>
      <c r="E36" s="6" t="b">
        <v>1</v>
      </c>
      <c r="F36" s="6" t="b">
        <v>1</v>
      </c>
      <c r="G36" s="6" t="b">
        <v>1</v>
      </c>
      <c r="H36" s="6" t="b">
        <v>1</v>
      </c>
      <c r="I36" s="6" t="b">
        <v>1</v>
      </c>
      <c r="J36" s="6" t="b">
        <v>1</v>
      </c>
      <c r="K36" s="6" t="b">
        <v>0</v>
      </c>
      <c r="L36" s="6" t="b">
        <v>1</v>
      </c>
      <c r="M36" s="6" t="b">
        <v>1</v>
      </c>
      <c r="N36" s="6" t="str">
        <v>NA</v>
      </c>
      <c r="O36" s="6" t="str">
        <v>NA</v>
      </c>
      <c r="P36" s="6" t="b">
        <v>1</v>
      </c>
      <c r="Q36" s="6" t="str">
        <v>NA</v>
      </c>
      <c r="R36" s="6" t="str">
        <v>NA</v>
      </c>
      <c r="S36" s="6" t="str">
        <v>NA</v>
      </c>
      <c r="T36" s="7">
        <v>0.90909090909090906</v>
      </c>
      <c r="U36" s="4">
        <f t="shared" si="0"/>
        <v>10</v>
      </c>
      <c r="V36" s="4">
        <f t="shared" si="1"/>
        <v>1</v>
      </c>
      <c r="W36" s="1"/>
    </row>
    <row r="37" spans="1:23" ht="15.75" customHeight="1" x14ac:dyDescent="0.25">
      <c r="A37" s="5" t="str">
        <v>TI</v>
      </c>
      <c r="B37" s="5" t="str">
        <v>BINARIA</v>
      </c>
      <c r="C37" s="6" t="b">
        <v>1</v>
      </c>
      <c r="D37" s="6" t="str">
        <v>NA</v>
      </c>
      <c r="E37" s="6" t="b">
        <v>1</v>
      </c>
      <c r="F37" s="6" t="b">
        <v>1</v>
      </c>
      <c r="G37" s="6" t="b">
        <v>1</v>
      </c>
      <c r="H37" s="6" t="b">
        <v>1</v>
      </c>
      <c r="I37" s="6" t="b">
        <v>1</v>
      </c>
      <c r="J37" s="6" t="b">
        <v>1</v>
      </c>
      <c r="K37" s="6" t="b">
        <v>0</v>
      </c>
      <c r="L37" s="6" t="b">
        <v>1</v>
      </c>
      <c r="M37" s="6" t="b">
        <v>1</v>
      </c>
      <c r="N37" s="6" t="str">
        <v>NA</v>
      </c>
      <c r="O37" s="6" t="str">
        <v>NA</v>
      </c>
      <c r="P37" s="6" t="b">
        <v>1</v>
      </c>
      <c r="Q37" s="6" t="str">
        <v>NA</v>
      </c>
      <c r="R37" s="6" t="str">
        <v>NA</v>
      </c>
      <c r="S37" s="6" t="str">
        <v>NA</v>
      </c>
      <c r="T37" s="7">
        <v>0.90909090909090906</v>
      </c>
      <c r="U37" s="4">
        <f t="shared" si="0"/>
        <v>10</v>
      </c>
      <c r="V37" s="4">
        <f t="shared" si="1"/>
        <v>1</v>
      </c>
      <c r="W37" s="1"/>
    </row>
    <row r="38" spans="1:23" ht="15.75" customHeight="1" x14ac:dyDescent="0.25">
      <c r="A38" s="5" t="str">
        <v>TI</v>
      </c>
      <c r="B38" s="5" t="str">
        <v>EDITY</v>
      </c>
      <c r="C38" s="6" t="b">
        <v>1</v>
      </c>
      <c r="D38" s="6" t="str">
        <v>NA</v>
      </c>
      <c r="E38" s="6" t="b">
        <v>1</v>
      </c>
      <c r="F38" s="6" t="b">
        <v>1</v>
      </c>
      <c r="G38" s="6" t="b">
        <v>1</v>
      </c>
      <c r="H38" s="6" t="b">
        <v>1</v>
      </c>
      <c r="I38" s="6" t="b">
        <v>0</v>
      </c>
      <c r="J38" s="6" t="b">
        <v>1</v>
      </c>
      <c r="K38" s="6" t="b">
        <v>0</v>
      </c>
      <c r="L38" s="6" t="b">
        <v>1</v>
      </c>
      <c r="M38" s="6" t="b">
        <v>1</v>
      </c>
      <c r="N38" s="6" t="str">
        <v>NA</v>
      </c>
      <c r="O38" s="6" t="str">
        <v>NA</v>
      </c>
      <c r="P38" s="6" t="b">
        <v>1</v>
      </c>
      <c r="Q38" s="6" t="str">
        <v>NA</v>
      </c>
      <c r="R38" s="6" t="str">
        <v>NA</v>
      </c>
      <c r="S38" s="6" t="str">
        <v>NA</v>
      </c>
      <c r="T38" s="7">
        <v>0.81818181818181823</v>
      </c>
      <c r="U38" s="4">
        <f t="shared" si="0"/>
        <v>9</v>
      </c>
      <c r="V38" s="4">
        <f t="shared" si="1"/>
        <v>2</v>
      </c>
    </row>
    <row r="39" spans="1:23" ht="15.75" customHeight="1" x14ac:dyDescent="0.25">
      <c r="A39" s="5" t="str">
        <v>RRHH</v>
      </c>
      <c r="B39" s="5" t="str">
        <v>LUNAEXPRESS</v>
      </c>
      <c r="C39" s="6" t="b">
        <v>1</v>
      </c>
      <c r="D39" s="6" t="str">
        <v>NA</v>
      </c>
      <c r="E39" s="6" t="b">
        <v>1</v>
      </c>
      <c r="F39" s="6" t="b">
        <v>1</v>
      </c>
      <c r="G39" s="6" t="b">
        <v>1</v>
      </c>
      <c r="H39" s="6" t="b">
        <v>1</v>
      </c>
      <c r="I39" s="6" t="b">
        <v>1</v>
      </c>
      <c r="J39" s="6" t="b">
        <v>1</v>
      </c>
      <c r="K39" s="6" t="b">
        <v>1</v>
      </c>
      <c r="L39" s="6" t="b">
        <v>0</v>
      </c>
      <c r="M39" s="6" t="b">
        <v>0</v>
      </c>
      <c r="N39" s="6" t="str">
        <v>NA</v>
      </c>
      <c r="O39" s="6" t="str">
        <v>NA</v>
      </c>
      <c r="P39" s="6" t="b">
        <v>1</v>
      </c>
      <c r="Q39" s="6" t="str">
        <v>NA</v>
      </c>
      <c r="R39" s="6" t="str">
        <v>NA</v>
      </c>
      <c r="S39" s="6" t="str">
        <v>NA</v>
      </c>
      <c r="T39" s="7">
        <v>0.81818181818181823</v>
      </c>
      <c r="U39" s="4">
        <f t="shared" si="0"/>
        <v>9</v>
      </c>
      <c r="V39" s="4">
        <f t="shared" si="1"/>
        <v>2</v>
      </c>
    </row>
    <row r="40" spans="1:23" ht="15.75" customHeight="1" x14ac:dyDescent="0.25">
      <c r="A40" s="5" t="str">
        <v>ADM</v>
      </c>
      <c r="B40" s="5" t="str">
        <v>ESPECTACULOS Y FERIAS DEL PACIFICO S.A.</v>
      </c>
      <c r="C40" s="6" t="b">
        <v>1</v>
      </c>
      <c r="D40" s="6" t="str">
        <v>NA</v>
      </c>
      <c r="E40" s="6" t="b">
        <v>1</v>
      </c>
      <c r="F40" s="6" t="b">
        <v>1</v>
      </c>
      <c r="G40" s="6" t="b">
        <v>1</v>
      </c>
      <c r="H40" s="6" t="b">
        <v>1</v>
      </c>
      <c r="I40" s="6" t="b">
        <v>1</v>
      </c>
      <c r="J40" s="6" t="str">
        <v>NA</v>
      </c>
      <c r="K40" s="6" t="b">
        <v>0</v>
      </c>
      <c r="L40" s="6" t="b">
        <v>1</v>
      </c>
      <c r="M40" s="6" t="b">
        <v>0</v>
      </c>
      <c r="N40" s="6" t="str">
        <v>NA</v>
      </c>
      <c r="O40" s="6" t="str">
        <v>NA</v>
      </c>
      <c r="P40" s="6" t="b">
        <v>1</v>
      </c>
      <c r="Q40" s="6" t="str">
        <v>NA</v>
      </c>
      <c r="R40" s="6" t="str">
        <v>NA</v>
      </c>
      <c r="S40" s="6" t="str">
        <v>NA</v>
      </c>
      <c r="T40" s="7">
        <v>0.8</v>
      </c>
      <c r="U40" s="4">
        <f t="shared" si="0"/>
        <v>8</v>
      </c>
      <c r="V40" s="4">
        <f t="shared" si="1"/>
        <v>2</v>
      </c>
    </row>
    <row r="41" spans="1:23" ht="15.75" customHeight="1" x14ac:dyDescent="0.25">
      <c r="A41" s="5" t="str">
        <v>ADM</v>
      </c>
      <c r="B41" s="5" t="str">
        <v>PIPE REHAB</v>
      </c>
      <c r="C41" s="6" t="b">
        <v>1</v>
      </c>
      <c r="D41" s="6" t="str">
        <v>NA</v>
      </c>
      <c r="E41" s="6" t="b">
        <v>1</v>
      </c>
      <c r="F41" s="6" t="b">
        <v>1</v>
      </c>
      <c r="G41" s="6" t="b">
        <v>1</v>
      </c>
      <c r="H41" s="6" t="b">
        <v>1</v>
      </c>
      <c r="I41" s="6" t="b">
        <v>1</v>
      </c>
      <c r="J41" s="6" t="b">
        <v>1</v>
      </c>
      <c r="K41" s="6" t="b">
        <v>1</v>
      </c>
      <c r="L41" s="6" t="b">
        <v>1</v>
      </c>
      <c r="M41" s="6" t="b">
        <v>1</v>
      </c>
      <c r="N41" s="6" t="str">
        <v>NA</v>
      </c>
      <c r="O41" s="6" t="str">
        <v>NA</v>
      </c>
      <c r="P41" s="6" t="b">
        <v>1</v>
      </c>
      <c r="Q41" s="6" t="str">
        <v>NA</v>
      </c>
      <c r="R41" s="6" t="str">
        <v>NA</v>
      </c>
      <c r="S41" s="6" t="str">
        <v>NA</v>
      </c>
      <c r="T41" s="7">
        <v>1</v>
      </c>
      <c r="U41" s="4">
        <f t="shared" si="0"/>
        <v>11</v>
      </c>
      <c r="V41" s="4">
        <f t="shared" si="1"/>
        <v>0</v>
      </c>
    </row>
    <row r="42" spans="1:23" ht="15.75" customHeight="1" x14ac:dyDescent="0.25">
      <c r="A42" s="5" t="str">
        <v>ADM</v>
      </c>
      <c r="B42" s="5" t="str">
        <v>GRUPOAQUA S.A.</v>
      </c>
      <c r="C42" s="6" t="b">
        <v>1</v>
      </c>
      <c r="D42" s="6" t="str">
        <v>NA</v>
      </c>
      <c r="E42" s="6" t="b">
        <v>1</v>
      </c>
      <c r="F42" s="6" t="b">
        <v>1</v>
      </c>
      <c r="G42" s="6" t="b">
        <v>1</v>
      </c>
      <c r="H42" s="6" t="b">
        <v>1</v>
      </c>
      <c r="I42" s="6" t="b">
        <v>1</v>
      </c>
      <c r="J42" s="6" t="b">
        <v>1</v>
      </c>
      <c r="K42" s="6" t="b">
        <v>0</v>
      </c>
      <c r="L42" s="6" t="b">
        <v>1</v>
      </c>
      <c r="M42" s="6" t="b">
        <v>1</v>
      </c>
      <c r="N42" s="6" t="str">
        <v>NA</v>
      </c>
      <c r="O42" s="6" t="str">
        <v>NA</v>
      </c>
      <c r="P42" s="6" t="b">
        <v>1</v>
      </c>
      <c r="Q42" s="6" t="str">
        <v>NA</v>
      </c>
      <c r="R42" s="6" t="str">
        <v>NA</v>
      </c>
      <c r="S42" s="6" t="str">
        <v>NA</v>
      </c>
      <c r="T42" s="7">
        <v>0.90909090909090906</v>
      </c>
      <c r="U42" s="4">
        <f t="shared" si="0"/>
        <v>10</v>
      </c>
      <c r="V42" s="4">
        <f t="shared" si="1"/>
        <v>1</v>
      </c>
    </row>
    <row r="43" spans="1:23" ht="15.75" customHeight="1" x14ac:dyDescent="0.25">
      <c r="A43" s="5" t="str">
        <v>ADM</v>
      </c>
      <c r="B43" s="5" t="str">
        <v>CLEANSTAR</v>
      </c>
      <c r="C43" s="6" t="b">
        <v>1</v>
      </c>
      <c r="D43" s="6" t="str">
        <v>NA</v>
      </c>
      <c r="E43" s="6" t="b">
        <v>1</v>
      </c>
      <c r="F43" s="6" t="b">
        <v>1</v>
      </c>
      <c r="G43" s="6" t="b">
        <v>1</v>
      </c>
      <c r="H43" s="6" t="b">
        <v>1</v>
      </c>
      <c r="I43" s="6" t="b">
        <v>1</v>
      </c>
      <c r="J43" s="6" t="b">
        <v>1</v>
      </c>
      <c r="K43" s="6" t="b">
        <v>1</v>
      </c>
      <c r="L43" s="6" t="b">
        <v>1</v>
      </c>
      <c r="M43" s="6" t="b">
        <v>1</v>
      </c>
      <c r="N43" s="6" t="b">
        <v>1</v>
      </c>
      <c r="O43" s="6" t="b">
        <v>0</v>
      </c>
      <c r="P43" s="6" t="b">
        <v>1</v>
      </c>
      <c r="Q43" s="6" t="str">
        <v>NA</v>
      </c>
      <c r="R43" s="6" t="b">
        <v>1</v>
      </c>
      <c r="S43" s="6" t="b">
        <v>0</v>
      </c>
      <c r="T43" s="7">
        <v>0.8125</v>
      </c>
      <c r="U43" s="4">
        <f t="shared" si="0"/>
        <v>13</v>
      </c>
      <c r="V43" s="4">
        <f t="shared" si="1"/>
        <v>2</v>
      </c>
    </row>
    <row r="44" spans="1:23" ht="15.75" customHeight="1" x14ac:dyDescent="0.25">
      <c r="A44" s="5" t="str">
        <v>ADM</v>
      </c>
      <c r="B44" s="5" t="str">
        <v>DOMINGUEZ VARGAS</v>
      </c>
      <c r="C44" s="6" t="b">
        <v>1</v>
      </c>
      <c r="D44" s="6" t="str">
        <v>NA</v>
      </c>
      <c r="E44" s="6" t="str">
        <v>NA</v>
      </c>
      <c r="F44" s="6" t="b">
        <v>1</v>
      </c>
      <c r="G44" s="6" t="str">
        <v>NA</v>
      </c>
      <c r="H44" s="6" t="b">
        <v>1</v>
      </c>
      <c r="I44" s="6" t="b">
        <v>1</v>
      </c>
      <c r="J44" s="6" t="b">
        <v>1</v>
      </c>
      <c r="K44" s="6" t="b">
        <v>1</v>
      </c>
      <c r="L44" s="6" t="b">
        <v>1</v>
      </c>
      <c r="M44" s="6" t="b">
        <v>1</v>
      </c>
      <c r="N44" s="6" t="str">
        <v>NA</v>
      </c>
      <c r="O44" s="6" t="str">
        <v>NA</v>
      </c>
      <c r="P44" s="6" t="b">
        <v>1</v>
      </c>
      <c r="Q44" s="6" t="str">
        <v>NA</v>
      </c>
      <c r="R44" s="6" t="str">
        <v>NA</v>
      </c>
      <c r="S44" s="6" t="str">
        <v>NA</v>
      </c>
      <c r="T44" s="7">
        <v>1</v>
      </c>
      <c r="U44" s="4">
        <f t="shared" si="0"/>
        <v>9</v>
      </c>
      <c r="V44" s="4">
        <f t="shared" si="1"/>
        <v>0</v>
      </c>
    </row>
    <row r="45" spans="1:23" ht="15.75" customHeight="1" x14ac:dyDescent="0.25">
      <c r="A45" s="5" t="str">
        <v>ADM</v>
      </c>
      <c r="B45" s="5" t="str">
        <v>SERVIMALDONADO</v>
      </c>
      <c r="C45" s="6" t="b">
        <v>1</v>
      </c>
      <c r="D45" s="6" t="str">
        <v>NA</v>
      </c>
      <c r="E45" s="6" t="b">
        <v>1</v>
      </c>
      <c r="F45" s="6" t="b">
        <v>1</v>
      </c>
      <c r="G45" s="6" t="b">
        <v>1</v>
      </c>
      <c r="H45" s="6" t="b">
        <v>1</v>
      </c>
      <c r="I45" s="6" t="b">
        <v>1</v>
      </c>
      <c r="J45" s="6" t="b">
        <v>1</v>
      </c>
      <c r="K45" s="6" t="b">
        <v>1</v>
      </c>
      <c r="L45" s="6" t="b">
        <v>1</v>
      </c>
      <c r="M45" s="6" t="b">
        <v>1</v>
      </c>
      <c r="N45" s="6" t="b">
        <v>1</v>
      </c>
      <c r="O45" s="6" t="str">
        <v>NA</v>
      </c>
      <c r="P45" s="6" t="b">
        <v>1</v>
      </c>
      <c r="Q45" s="6" t="str">
        <v>NA</v>
      </c>
      <c r="R45" s="6" t="str">
        <v>NA</v>
      </c>
      <c r="S45" s="6" t="b">
        <v>1</v>
      </c>
      <c r="T45" s="7">
        <v>1</v>
      </c>
      <c r="U45" s="4">
        <f t="shared" si="0"/>
        <v>13</v>
      </c>
      <c r="V45" s="4">
        <f t="shared" si="1"/>
        <v>0</v>
      </c>
    </row>
    <row r="46" spans="1:23" ht="15.75" customHeight="1" x14ac:dyDescent="0.25">
      <c r="A46" s="5" t="str">
        <v>ADM</v>
      </c>
      <c r="B46" s="5" t="str">
        <v>SERVICAREN</v>
      </c>
      <c r="C46" s="6" t="b">
        <v>1</v>
      </c>
      <c r="D46" s="6" t="str">
        <v>NA</v>
      </c>
      <c r="E46" s="6" t="b">
        <v>1</v>
      </c>
      <c r="F46" s="6" t="b">
        <v>1</v>
      </c>
      <c r="G46" s="6" t="b">
        <v>1</v>
      </c>
      <c r="H46" s="6" t="b">
        <v>1</v>
      </c>
      <c r="I46" s="6" t="b">
        <v>1</v>
      </c>
      <c r="J46" s="6" t="b">
        <v>0</v>
      </c>
      <c r="K46" s="6" t="b">
        <v>1</v>
      </c>
      <c r="L46" s="6" t="b">
        <v>1</v>
      </c>
      <c r="M46" s="6" t="b">
        <v>1</v>
      </c>
      <c r="N46" s="6" t="b">
        <v>1</v>
      </c>
      <c r="O46" s="6" t="str">
        <v>NA</v>
      </c>
      <c r="P46" s="6" t="b">
        <v>1</v>
      </c>
      <c r="Q46" s="6" t="str">
        <v>NA</v>
      </c>
      <c r="R46" s="6" t="str">
        <v>NA</v>
      </c>
      <c r="S46" s="6" t="str">
        <v>NA</v>
      </c>
      <c r="T46" s="7">
        <v>1</v>
      </c>
      <c r="U46" s="4">
        <f t="shared" si="0"/>
        <v>11</v>
      </c>
      <c r="V46" s="4">
        <f t="shared" si="1"/>
        <v>1</v>
      </c>
    </row>
    <row r="47" spans="1:23" ht="15.75" customHeight="1" x14ac:dyDescent="0.25">
      <c r="A47" s="5" t="str">
        <v>ADM</v>
      </c>
      <c r="B47" s="5" t="str">
        <v>JORGE VILLALTA</v>
      </c>
      <c r="C47" s="6" t="b">
        <v>1</v>
      </c>
      <c r="D47" s="6" t="str">
        <v>NA</v>
      </c>
      <c r="E47" s="6" t="str">
        <v>NA</v>
      </c>
      <c r="F47" s="6" t="b">
        <v>1</v>
      </c>
      <c r="G47" s="6" t="str">
        <v>NA</v>
      </c>
      <c r="H47" s="6" t="b">
        <v>1</v>
      </c>
      <c r="I47" s="6" t="b">
        <v>1</v>
      </c>
      <c r="J47" s="6" t="b">
        <v>1</v>
      </c>
      <c r="K47" s="6" t="b">
        <v>1</v>
      </c>
      <c r="L47" s="6" t="b">
        <v>0</v>
      </c>
      <c r="M47" s="6" t="b">
        <v>1</v>
      </c>
      <c r="N47" s="6" t="str">
        <v>NA</v>
      </c>
      <c r="O47" s="6" t="str">
        <v>NA</v>
      </c>
      <c r="P47" s="6" t="b">
        <v>1</v>
      </c>
      <c r="Q47" s="6" t="str">
        <v>NA</v>
      </c>
      <c r="R47" s="6" t="str">
        <v>NA</v>
      </c>
      <c r="S47" s="6" t="str">
        <v>NA</v>
      </c>
      <c r="T47" s="7">
        <v>0.88888888888888884</v>
      </c>
      <c r="U47" s="4">
        <f t="shared" si="0"/>
        <v>8</v>
      </c>
      <c r="V47" s="4">
        <f t="shared" si="1"/>
        <v>1</v>
      </c>
    </row>
    <row r="48" spans="1:23" ht="15.75" customHeight="1" x14ac:dyDescent="0.25">
      <c r="A48" s="5" t="str">
        <v>ADM</v>
      </c>
      <c r="B48" s="5" t="str">
        <v>DIMC</v>
      </c>
      <c r="C48" s="6" t="b">
        <v>1</v>
      </c>
      <c r="D48" s="6" t="str">
        <v>NA</v>
      </c>
      <c r="E48" s="6" t="b">
        <v>1</v>
      </c>
      <c r="F48" s="6" t="b">
        <v>1</v>
      </c>
      <c r="G48" s="6" t="b">
        <v>1</v>
      </c>
      <c r="H48" s="6" t="b">
        <v>1</v>
      </c>
      <c r="I48" s="6" t="b">
        <v>1</v>
      </c>
      <c r="J48" s="6" t="b">
        <v>1</v>
      </c>
      <c r="K48" s="6" t="b">
        <v>1</v>
      </c>
      <c r="L48" s="6" t="b">
        <v>1</v>
      </c>
      <c r="M48" s="6" t="b">
        <v>1</v>
      </c>
      <c r="N48" s="6" t="str">
        <v>NA</v>
      </c>
      <c r="O48" s="6" t="str">
        <v>NA</v>
      </c>
      <c r="P48" s="6" t="b">
        <v>1</v>
      </c>
      <c r="Q48" s="6" t="str">
        <v>NA</v>
      </c>
      <c r="R48" s="6" t="str">
        <v>NA</v>
      </c>
      <c r="S48" s="6" t="str">
        <v>NA</v>
      </c>
      <c r="T48" s="7">
        <v>1</v>
      </c>
      <c r="U48" s="4">
        <f t="shared" si="0"/>
        <v>11</v>
      </c>
      <c r="V48" s="4">
        <f t="shared" si="1"/>
        <v>0</v>
      </c>
    </row>
    <row r="49" spans="1:22" ht="15.75" customHeight="1" x14ac:dyDescent="0.25">
      <c r="A49" s="5" t="str" cm="1">
        <f t="array" ref="A49:T75">[1]IND!$A$35:$T$61</f>
        <v>OBRA CIVIL</v>
      </c>
      <c r="B49" s="5" t="str">
        <v>ZALICO</v>
      </c>
      <c r="C49" s="6" t="b">
        <v>1</v>
      </c>
      <c r="D49" s="6" t="str">
        <v>NA</v>
      </c>
      <c r="E49" s="6" t="b">
        <v>1</v>
      </c>
      <c r="F49" s="6" t="b">
        <v>1</v>
      </c>
      <c r="G49" s="6" t="b">
        <v>1</v>
      </c>
      <c r="H49" s="6" t="b">
        <v>1</v>
      </c>
      <c r="I49" s="6" t="b">
        <v>1</v>
      </c>
      <c r="J49" s="6" t="b">
        <v>1</v>
      </c>
      <c r="K49" s="6" t="b">
        <v>1</v>
      </c>
      <c r="L49" s="6" t="b">
        <v>1</v>
      </c>
      <c r="M49" s="6" t="b">
        <v>1</v>
      </c>
      <c r="N49" s="6" t="b">
        <v>1</v>
      </c>
      <c r="O49" s="6" t="b">
        <v>1</v>
      </c>
      <c r="P49" s="6" t="b">
        <v>1</v>
      </c>
      <c r="Q49" s="6" t="str">
        <v>NA</v>
      </c>
      <c r="R49" s="6" t="b">
        <v>1</v>
      </c>
      <c r="S49" s="6" t="b">
        <v>1</v>
      </c>
      <c r="T49" s="7">
        <v>1</v>
      </c>
      <c r="U49" s="4">
        <f t="shared" si="0"/>
        <v>15</v>
      </c>
      <c r="V49" s="4">
        <f t="shared" si="1"/>
        <v>0</v>
      </c>
    </row>
    <row r="50" spans="1:22" ht="15.75" customHeight="1" x14ac:dyDescent="0.25">
      <c r="A50" s="5" t="str">
        <v>OBRA CIVIL</v>
      </c>
      <c r="B50" s="5" t="str">
        <v>NELLY DEL CARMEN</v>
      </c>
      <c r="C50" s="6" t="b">
        <v>1</v>
      </c>
      <c r="D50" s="6" t="b">
        <v>1</v>
      </c>
      <c r="E50" s="6" t="str">
        <v>NA</v>
      </c>
      <c r="F50" s="6" t="b">
        <v>1</v>
      </c>
      <c r="G50" s="6" t="str">
        <v>NA</v>
      </c>
      <c r="H50" s="6" t="b">
        <v>1</v>
      </c>
      <c r="I50" s="6" t="b">
        <v>1</v>
      </c>
      <c r="J50" s="6" t="b">
        <v>1</v>
      </c>
      <c r="K50" s="6" t="b">
        <v>1</v>
      </c>
      <c r="L50" s="6" t="b">
        <v>1</v>
      </c>
      <c r="M50" s="6" t="b">
        <v>1</v>
      </c>
      <c r="N50" s="6" t="str">
        <v>NA</v>
      </c>
      <c r="O50" s="6" t="str">
        <v>NA</v>
      </c>
      <c r="P50" s="6" t="b">
        <v>1</v>
      </c>
      <c r="Q50" s="6" t="str">
        <v>NA</v>
      </c>
      <c r="R50" s="6" t="str">
        <v>NA</v>
      </c>
      <c r="S50" s="6" t="str">
        <v>NA</v>
      </c>
      <c r="T50" s="7">
        <v>1</v>
      </c>
      <c r="U50" s="4">
        <f t="shared" si="0"/>
        <v>10</v>
      </c>
      <c r="V50" s="4">
        <f t="shared" si="1"/>
        <v>0</v>
      </c>
    </row>
    <row r="51" spans="1:22" ht="15.75" customHeight="1" x14ac:dyDescent="0.25">
      <c r="A51" s="5" t="str">
        <v>OBRA CIVIL</v>
      </c>
      <c r="B51" s="5" t="str">
        <v>GEPRODE</v>
      </c>
      <c r="C51" s="6" t="b">
        <v>1</v>
      </c>
      <c r="D51" s="6" t="b">
        <v>0</v>
      </c>
      <c r="E51" s="6" t="b">
        <v>1</v>
      </c>
      <c r="F51" s="6" t="b">
        <v>1</v>
      </c>
      <c r="G51" s="6" t="b">
        <v>1</v>
      </c>
      <c r="H51" s="6" t="b">
        <v>1</v>
      </c>
      <c r="I51" s="6" t="b">
        <v>1</v>
      </c>
      <c r="J51" s="6" t="b">
        <v>1</v>
      </c>
      <c r="K51" s="6" t="b">
        <v>1</v>
      </c>
      <c r="L51" s="6" t="b">
        <v>1</v>
      </c>
      <c r="M51" s="6" t="b">
        <v>1</v>
      </c>
      <c r="N51" s="6" t="str">
        <v>NA</v>
      </c>
      <c r="O51" s="6" t="str">
        <v>NA</v>
      </c>
      <c r="P51" s="6" t="b">
        <v>1</v>
      </c>
      <c r="Q51" s="6" t="str">
        <v>NA</v>
      </c>
      <c r="R51" s="6" t="str">
        <v>NA</v>
      </c>
      <c r="S51" s="6" t="str">
        <v>NA</v>
      </c>
      <c r="T51" s="7">
        <v>0.91666666666666663</v>
      </c>
      <c r="U51" s="4">
        <f t="shared" si="0"/>
        <v>11</v>
      </c>
      <c r="V51" s="4">
        <f t="shared" si="1"/>
        <v>1</v>
      </c>
    </row>
    <row r="52" spans="1:22" ht="15.75" customHeight="1" x14ac:dyDescent="0.25">
      <c r="A52" s="5" t="str">
        <v>OBRA CIVIL</v>
      </c>
      <c r="B52" s="5" t="str">
        <v>DITELME</v>
      </c>
      <c r="C52" s="6" t="b">
        <v>1</v>
      </c>
      <c r="D52" s="6" t="str">
        <v>NA</v>
      </c>
      <c r="E52" s="6" t="b">
        <v>1</v>
      </c>
      <c r="F52" s="6" t="b">
        <v>1</v>
      </c>
      <c r="G52" s="6" t="b">
        <v>1</v>
      </c>
      <c r="H52" s="6" t="b">
        <v>1</v>
      </c>
      <c r="I52" s="6" t="b">
        <v>1</v>
      </c>
      <c r="J52" s="6" t="b">
        <v>1</v>
      </c>
      <c r="K52" s="6" t="b">
        <v>0</v>
      </c>
      <c r="L52" s="6" t="b">
        <v>1</v>
      </c>
      <c r="M52" s="6" t="b">
        <v>1</v>
      </c>
      <c r="N52" s="6" t="str">
        <v>NA</v>
      </c>
      <c r="O52" s="6" t="str">
        <v>NA</v>
      </c>
      <c r="P52" s="6" t="b">
        <v>1</v>
      </c>
      <c r="Q52" s="6" t="str">
        <v>NA</v>
      </c>
      <c r="R52" s="6" t="str">
        <v>NA</v>
      </c>
      <c r="S52" s="6" t="str">
        <v>NA</v>
      </c>
      <c r="T52" s="7">
        <v>0.90909090909090906</v>
      </c>
      <c r="U52" s="4">
        <f t="shared" si="0"/>
        <v>10</v>
      </c>
      <c r="V52" s="4">
        <f t="shared" si="1"/>
        <v>1</v>
      </c>
    </row>
    <row r="53" spans="1:22" ht="15.75" customHeight="1" x14ac:dyDescent="0.25">
      <c r="A53" s="5" t="str">
        <v>OBRA CIVIL</v>
      </c>
      <c r="B53" s="5" t="str">
        <v>ZAPATA LISSETH</v>
      </c>
      <c r="C53" s="6" t="b">
        <v>1</v>
      </c>
      <c r="D53" s="6" t="str">
        <v>NA</v>
      </c>
      <c r="E53" s="6" t="str">
        <v>NA</v>
      </c>
      <c r="F53" s="6" t="b">
        <v>1</v>
      </c>
      <c r="G53" s="6" t="str">
        <v>NA</v>
      </c>
      <c r="H53" s="6" t="b">
        <v>1</v>
      </c>
      <c r="I53" s="6" t="b">
        <v>0</v>
      </c>
      <c r="J53" s="6" t="b">
        <v>0</v>
      </c>
      <c r="K53" s="6" t="b">
        <v>1</v>
      </c>
      <c r="L53" s="6" t="b">
        <v>1</v>
      </c>
      <c r="M53" s="6" t="b">
        <v>1</v>
      </c>
      <c r="N53" s="6" t="str">
        <v>NA</v>
      </c>
      <c r="O53" s="6" t="str">
        <v>NA</v>
      </c>
      <c r="P53" s="6" t="b">
        <v>1</v>
      </c>
      <c r="Q53" s="6" t="str">
        <v>NA</v>
      </c>
      <c r="R53" s="6" t="b">
        <v>1</v>
      </c>
      <c r="S53" s="6" t="str">
        <v>NA</v>
      </c>
      <c r="T53" s="7">
        <v>0.88888888888888884</v>
      </c>
      <c r="U53" s="4">
        <f t="shared" si="0"/>
        <v>8</v>
      </c>
      <c r="V53" s="4">
        <f t="shared" si="1"/>
        <v>2</v>
      </c>
    </row>
    <row r="54" spans="1:22" ht="15.75" customHeight="1" x14ac:dyDescent="0.25">
      <c r="A54" s="5" t="str">
        <v>OBRA CIVIL</v>
      </c>
      <c r="B54" s="5" t="str">
        <v>PROFILMET</v>
      </c>
      <c r="C54" s="6" t="b">
        <v>1</v>
      </c>
      <c r="D54" s="6" t="str">
        <v>NA</v>
      </c>
      <c r="E54" s="6" t="b">
        <v>1</v>
      </c>
      <c r="F54" s="6" t="b">
        <v>1</v>
      </c>
      <c r="G54" s="6" t="b">
        <v>1</v>
      </c>
      <c r="H54" s="6" t="b">
        <v>1</v>
      </c>
      <c r="I54" s="6" t="b">
        <v>1</v>
      </c>
      <c r="J54" s="6" t="b">
        <v>1</v>
      </c>
      <c r="K54" s="6" t="b">
        <v>0</v>
      </c>
      <c r="L54" s="6" t="b">
        <v>1</v>
      </c>
      <c r="M54" s="6" t="b">
        <v>1</v>
      </c>
      <c r="N54" s="6" t="b">
        <v>0</v>
      </c>
      <c r="O54" s="6" t="b">
        <v>0</v>
      </c>
      <c r="P54" s="6" t="b">
        <v>1</v>
      </c>
      <c r="Q54" s="6" t="str">
        <v>NA</v>
      </c>
      <c r="R54" s="6" t="b">
        <v>1</v>
      </c>
      <c r="S54" s="6" t="b">
        <v>0</v>
      </c>
      <c r="T54" s="7">
        <v>0.73333333333333328</v>
      </c>
      <c r="U54" s="4">
        <f t="shared" si="0"/>
        <v>11</v>
      </c>
      <c r="V54" s="4">
        <f t="shared" si="1"/>
        <v>4</v>
      </c>
    </row>
    <row r="55" spans="1:22" ht="15.75" customHeight="1" x14ac:dyDescent="0.25">
      <c r="A55" s="5" t="str">
        <v>OBRA CIVIL</v>
      </c>
      <c r="B55" s="5" t="str">
        <v>CARPATEZ</v>
      </c>
      <c r="C55" s="6" t="b">
        <v>1</v>
      </c>
      <c r="D55" s="6" t="str">
        <v>NA</v>
      </c>
      <c r="E55" s="6" t="b">
        <v>1</v>
      </c>
      <c r="F55" s="6" t="b">
        <v>1</v>
      </c>
      <c r="G55" s="6" t="b">
        <v>1</v>
      </c>
      <c r="H55" s="6" t="b">
        <v>1</v>
      </c>
      <c r="I55" s="6" t="b">
        <v>1</v>
      </c>
      <c r="J55" s="6" t="b">
        <v>1</v>
      </c>
      <c r="K55" s="6" t="b">
        <v>1</v>
      </c>
      <c r="L55" s="6" t="b">
        <v>1</v>
      </c>
      <c r="M55" s="6" t="b">
        <v>1</v>
      </c>
      <c r="N55" s="6" t="str">
        <v>NA</v>
      </c>
      <c r="O55" s="6" t="str">
        <v>NA</v>
      </c>
      <c r="P55" s="6" t="b">
        <v>1</v>
      </c>
      <c r="Q55" s="6" t="str">
        <v>NA</v>
      </c>
      <c r="R55" s="6" t="str">
        <v>NA</v>
      </c>
      <c r="S55" s="6" t="str">
        <v>NA</v>
      </c>
      <c r="T55" s="7">
        <v>1</v>
      </c>
      <c r="U55" s="4">
        <f t="shared" si="0"/>
        <v>11</v>
      </c>
      <c r="V55" s="4">
        <f t="shared" si="1"/>
        <v>0</v>
      </c>
    </row>
    <row r="56" spans="1:22" ht="15.75" customHeight="1" x14ac:dyDescent="0.25">
      <c r="A56" s="5" t="str">
        <v>OBRA CIVIL</v>
      </c>
      <c r="B56" s="5" t="str">
        <v>GUILLERDOLF</v>
      </c>
      <c r="C56" s="6" t="b">
        <v>1</v>
      </c>
      <c r="D56" s="6" t="b">
        <v>0</v>
      </c>
      <c r="E56" s="6" t="b">
        <v>1</v>
      </c>
      <c r="F56" s="6" t="b">
        <v>1</v>
      </c>
      <c r="G56" s="6" t="b">
        <v>1</v>
      </c>
      <c r="H56" s="6" t="b">
        <v>1</v>
      </c>
      <c r="I56" s="6" t="b">
        <v>1</v>
      </c>
      <c r="J56" s="6" t="b">
        <v>0</v>
      </c>
      <c r="K56" s="6" t="b">
        <v>1</v>
      </c>
      <c r="L56" s="6" t="b">
        <v>1</v>
      </c>
      <c r="M56" s="6" t="b">
        <v>1</v>
      </c>
      <c r="N56" s="6" t="str">
        <v>NA</v>
      </c>
      <c r="O56" s="6" t="str">
        <v>NA</v>
      </c>
      <c r="P56" s="6" t="b">
        <v>1</v>
      </c>
      <c r="Q56" s="6" t="str">
        <v>NA</v>
      </c>
      <c r="R56" s="6" t="str">
        <v>NA</v>
      </c>
      <c r="S56" s="6" t="str">
        <v>NA</v>
      </c>
      <c r="T56" s="7">
        <v>0.90909090909090906</v>
      </c>
      <c r="U56" s="4">
        <f t="shared" si="0"/>
        <v>10</v>
      </c>
      <c r="V56" s="4">
        <f t="shared" si="1"/>
        <v>2</v>
      </c>
    </row>
    <row r="57" spans="1:22" ht="15.75" customHeight="1" x14ac:dyDescent="0.25">
      <c r="A57" s="5" t="str">
        <v>OBRA CIVIL</v>
      </c>
      <c r="B57" s="5" t="str">
        <v>PROCUNSA</v>
      </c>
      <c r="C57" s="6" t="b">
        <v>1</v>
      </c>
      <c r="D57" s="6" t="str">
        <v>NA</v>
      </c>
      <c r="E57" s="6" t="b">
        <v>1</v>
      </c>
      <c r="F57" s="6" t="b">
        <v>1</v>
      </c>
      <c r="G57" s="6" t="b">
        <v>1</v>
      </c>
      <c r="H57" s="6" t="b">
        <v>1</v>
      </c>
      <c r="I57" s="6" t="b">
        <v>1</v>
      </c>
      <c r="J57" s="6" t="b">
        <v>1</v>
      </c>
      <c r="K57" s="6" t="b">
        <v>0</v>
      </c>
      <c r="L57" s="6" t="b">
        <v>1</v>
      </c>
      <c r="M57" s="6" t="b">
        <v>1</v>
      </c>
      <c r="N57" s="6" t="b">
        <v>1</v>
      </c>
      <c r="O57" s="6" t="str">
        <v>NA</v>
      </c>
      <c r="P57" s="6" t="b">
        <v>1</v>
      </c>
      <c r="Q57" s="6" t="str">
        <v>NA</v>
      </c>
      <c r="R57" s="6" t="str">
        <v>NA</v>
      </c>
      <c r="S57" s="6" t="str">
        <v>NA</v>
      </c>
      <c r="T57" s="7">
        <v>0.91666666666666663</v>
      </c>
      <c r="U57" s="4">
        <f t="shared" si="0"/>
        <v>11</v>
      </c>
      <c r="V57" s="4">
        <f t="shared" si="1"/>
        <v>1</v>
      </c>
    </row>
    <row r="58" spans="1:22" ht="15.75" customHeight="1" x14ac:dyDescent="0.25">
      <c r="A58" s="5" t="str">
        <v>OBRA CIVIL</v>
      </c>
      <c r="B58" s="5" t="str">
        <v>NELLY DEL CARMEN</v>
      </c>
      <c r="C58" s="6" t="b">
        <v>1</v>
      </c>
      <c r="D58" s="6" t="b">
        <v>1</v>
      </c>
      <c r="E58" s="6" t="str">
        <v>NA</v>
      </c>
      <c r="F58" s="6" t="b">
        <v>1</v>
      </c>
      <c r="G58" s="6" t="str">
        <v>NA</v>
      </c>
      <c r="H58" s="6" t="b">
        <v>1</v>
      </c>
      <c r="I58" s="6" t="b">
        <v>1</v>
      </c>
      <c r="J58" s="6" t="b">
        <v>1</v>
      </c>
      <c r="K58" s="6" t="b">
        <v>0</v>
      </c>
      <c r="L58" s="6" t="b">
        <v>1</v>
      </c>
      <c r="M58" s="6" t="b">
        <v>1</v>
      </c>
      <c r="N58" s="6" t="b">
        <v>1</v>
      </c>
      <c r="O58" s="6" t="str">
        <v>NA</v>
      </c>
      <c r="P58" s="6" t="b">
        <v>1</v>
      </c>
      <c r="Q58" s="6" t="str">
        <v>NA</v>
      </c>
      <c r="R58" s="6" t="str">
        <v>NA</v>
      </c>
      <c r="S58" s="6" t="str">
        <v>NA</v>
      </c>
      <c r="T58" s="7">
        <v>0.90909090909090906</v>
      </c>
      <c r="U58" s="4">
        <f t="shared" si="0"/>
        <v>10</v>
      </c>
      <c r="V58" s="4">
        <f t="shared" si="1"/>
        <v>1</v>
      </c>
    </row>
    <row r="59" spans="1:22" ht="15.75" customHeight="1" x14ac:dyDescent="0.25">
      <c r="A59" s="5" t="str">
        <v>OBRA CIVIL</v>
      </c>
      <c r="B59" s="5" t="str">
        <v>SENDRE</v>
      </c>
      <c r="C59" s="6" t="b">
        <v>1</v>
      </c>
      <c r="D59" s="6" t="str">
        <v>NA</v>
      </c>
      <c r="E59" s="6" t="b">
        <v>1</v>
      </c>
      <c r="F59" s="6" t="b">
        <v>1</v>
      </c>
      <c r="G59" s="6" t="b">
        <v>1</v>
      </c>
      <c r="H59" s="6" t="b">
        <v>1</v>
      </c>
      <c r="I59" s="6" t="b">
        <v>1</v>
      </c>
      <c r="J59" s="6" t="b">
        <v>1</v>
      </c>
      <c r="K59" s="6" t="b">
        <v>1</v>
      </c>
      <c r="L59" s="6" t="b">
        <v>1</v>
      </c>
      <c r="M59" s="6" t="b">
        <v>1</v>
      </c>
      <c r="N59" s="6" t="str">
        <v>NA</v>
      </c>
      <c r="O59" s="6" t="str">
        <v>NA</v>
      </c>
      <c r="P59" s="6" t="b">
        <v>1</v>
      </c>
      <c r="Q59" s="6" t="str">
        <v>NA</v>
      </c>
      <c r="R59" s="6" t="str">
        <v>NA</v>
      </c>
      <c r="S59" s="6" t="str">
        <v>NA</v>
      </c>
      <c r="T59" s="7">
        <v>1</v>
      </c>
      <c r="U59" s="4">
        <f t="shared" si="0"/>
        <v>11</v>
      </c>
      <c r="V59" s="4">
        <f t="shared" si="1"/>
        <v>0</v>
      </c>
    </row>
    <row r="60" spans="1:22" ht="15.75" customHeight="1" x14ac:dyDescent="0.25">
      <c r="A60" s="5" t="str">
        <v>OBRA CIVIL</v>
      </c>
      <c r="B60" s="5" t="str">
        <v>FABRE-CONTRACTING</v>
      </c>
      <c r="C60" s="6" t="b">
        <v>1</v>
      </c>
      <c r="D60" s="6" t="str">
        <v>NA</v>
      </c>
      <c r="E60" s="6" t="b">
        <v>1</v>
      </c>
      <c r="F60" s="6" t="b">
        <v>1</v>
      </c>
      <c r="G60" s="6" t="b">
        <v>1</v>
      </c>
      <c r="H60" s="6" t="b">
        <v>1</v>
      </c>
      <c r="I60" s="6" t="b">
        <v>1</v>
      </c>
      <c r="J60" s="6" t="b">
        <v>1</v>
      </c>
      <c r="K60" s="6" t="b">
        <v>1</v>
      </c>
      <c r="L60" s="6" t="b">
        <v>1</v>
      </c>
      <c r="M60" s="6" t="b">
        <v>1</v>
      </c>
      <c r="N60" s="6" t="str">
        <v>NA</v>
      </c>
      <c r="O60" s="6" t="str">
        <v>NA</v>
      </c>
      <c r="P60" s="6" t="b">
        <v>1</v>
      </c>
      <c r="Q60" s="6" t="str">
        <v>NA</v>
      </c>
      <c r="R60" s="6" t="str">
        <v>NA</v>
      </c>
      <c r="S60" s="6" t="str">
        <v>NA</v>
      </c>
      <c r="T60" s="7">
        <v>1</v>
      </c>
      <c r="U60" s="4">
        <f t="shared" si="0"/>
        <v>11</v>
      </c>
      <c r="V60" s="4">
        <f t="shared" si="1"/>
        <v>0</v>
      </c>
    </row>
    <row r="61" spans="1:22" ht="15.75" customHeight="1" x14ac:dyDescent="0.25">
      <c r="A61" s="5" t="str">
        <v>MTTO</v>
      </c>
      <c r="B61" s="5" t="str">
        <v>REIBIN</v>
      </c>
      <c r="C61" s="6" t="b">
        <v>1</v>
      </c>
      <c r="D61" s="6" t="str">
        <v>NA</v>
      </c>
      <c r="E61" s="6" t="str">
        <v>NA</v>
      </c>
      <c r="F61" s="6" t="b">
        <v>1</v>
      </c>
      <c r="G61" s="6" t="str">
        <v>NA</v>
      </c>
      <c r="H61" s="6" t="b">
        <v>1</v>
      </c>
      <c r="I61" s="6" t="b">
        <v>1</v>
      </c>
      <c r="J61" s="6" t="b">
        <v>1</v>
      </c>
      <c r="K61" s="6" t="b">
        <v>1</v>
      </c>
      <c r="L61" s="6" t="b">
        <v>1</v>
      </c>
      <c r="M61" s="6" t="b">
        <v>1</v>
      </c>
      <c r="N61" s="6" t="str">
        <v>NA</v>
      </c>
      <c r="O61" s="6" t="str">
        <v>NA</v>
      </c>
      <c r="P61" s="6" t="b">
        <v>1</v>
      </c>
      <c r="Q61" s="6" t="str">
        <v>NA</v>
      </c>
      <c r="R61" s="6" t="str">
        <v>NA</v>
      </c>
      <c r="S61" s="6" t="str">
        <v>NA</v>
      </c>
      <c r="T61" s="7">
        <v>1</v>
      </c>
      <c r="U61" s="4">
        <f t="shared" si="0"/>
        <v>9</v>
      </c>
      <c r="V61" s="4">
        <f t="shared" si="1"/>
        <v>0</v>
      </c>
    </row>
    <row r="62" spans="1:22" ht="15.75" customHeight="1" x14ac:dyDescent="0.25">
      <c r="A62" s="5" t="str">
        <v>MTTO</v>
      </c>
      <c r="B62" s="5" t="str">
        <v>TRITON</v>
      </c>
      <c r="C62" s="6" t="b">
        <v>1</v>
      </c>
      <c r="D62" s="6" t="str">
        <v>NA</v>
      </c>
      <c r="E62" s="6" t="b">
        <v>1</v>
      </c>
      <c r="F62" s="6" t="b">
        <v>1</v>
      </c>
      <c r="G62" s="6" t="b">
        <v>1</v>
      </c>
      <c r="H62" s="6" t="b">
        <v>1</v>
      </c>
      <c r="I62" s="6" t="b">
        <v>1</v>
      </c>
      <c r="J62" s="6" t="b">
        <v>1</v>
      </c>
      <c r="K62" s="6" t="b">
        <v>0</v>
      </c>
      <c r="L62" s="6" t="b">
        <v>1</v>
      </c>
      <c r="M62" s="6" t="b">
        <v>1</v>
      </c>
      <c r="N62" s="6" t="str">
        <v>NA</v>
      </c>
      <c r="O62" s="6" t="str">
        <v>NA</v>
      </c>
      <c r="P62" s="6" t="b">
        <v>1</v>
      </c>
      <c r="Q62" s="6" t="str">
        <v>NA</v>
      </c>
      <c r="R62" s="6" t="str">
        <v>NA</v>
      </c>
      <c r="S62" s="6" t="str">
        <v>NA</v>
      </c>
      <c r="T62" s="7">
        <v>0.90909090909090906</v>
      </c>
      <c r="U62" s="4">
        <f t="shared" si="0"/>
        <v>10</v>
      </c>
      <c r="V62" s="4">
        <f t="shared" si="1"/>
        <v>1</v>
      </c>
    </row>
    <row r="63" spans="1:22" ht="15.75" customHeight="1" x14ac:dyDescent="0.25">
      <c r="A63" s="5" t="str">
        <v>MTTO</v>
      </c>
      <c r="B63" s="5" t="str">
        <v>ONLYCONTROL</v>
      </c>
      <c r="C63" s="6" t="b">
        <v>1</v>
      </c>
      <c r="D63" s="6" t="str">
        <v>NA</v>
      </c>
      <c r="E63" s="6" t="b">
        <v>1</v>
      </c>
      <c r="F63" s="6" t="b">
        <v>1</v>
      </c>
      <c r="G63" s="6" t="b">
        <v>1</v>
      </c>
      <c r="H63" s="6" t="b">
        <v>1</v>
      </c>
      <c r="I63" s="6" t="b">
        <v>1</v>
      </c>
      <c r="J63" s="6" t="b">
        <v>0</v>
      </c>
      <c r="K63" s="6" t="b">
        <v>0</v>
      </c>
      <c r="L63" s="6" t="b">
        <v>1</v>
      </c>
      <c r="M63" s="6" t="b">
        <v>1</v>
      </c>
      <c r="N63" s="6" t="str">
        <v>NA</v>
      </c>
      <c r="O63" s="6" t="str">
        <v>NA</v>
      </c>
      <c r="P63" s="6" t="b">
        <v>1</v>
      </c>
      <c r="Q63" s="6" t="str">
        <v>NA</v>
      </c>
      <c r="R63" s="6" t="str">
        <v>NA</v>
      </c>
      <c r="S63" s="6" t="str">
        <v>NA</v>
      </c>
      <c r="T63" s="7">
        <v>0.81818181818181823</v>
      </c>
      <c r="U63" s="4">
        <f t="shared" si="0"/>
        <v>9</v>
      </c>
      <c r="V63" s="4">
        <f t="shared" si="1"/>
        <v>2</v>
      </c>
    </row>
    <row r="64" spans="1:22" ht="15.75" customHeight="1" x14ac:dyDescent="0.25">
      <c r="A64" s="5" t="str">
        <v>MTTO</v>
      </c>
      <c r="B64" s="5" t="str">
        <v>PONTON JUAN</v>
      </c>
      <c r="C64" s="6" t="b">
        <v>1</v>
      </c>
      <c r="D64" s="6" t="str">
        <v>NA</v>
      </c>
      <c r="E64" s="6" t="str">
        <v>NA</v>
      </c>
      <c r="F64" s="6" t="b">
        <v>1</v>
      </c>
      <c r="G64" s="6" t="str">
        <v>NA</v>
      </c>
      <c r="H64" s="6" t="b">
        <v>1</v>
      </c>
      <c r="I64" s="6" t="b">
        <v>1</v>
      </c>
      <c r="J64" s="6" t="b">
        <v>0</v>
      </c>
      <c r="K64" s="6" t="b">
        <v>0</v>
      </c>
      <c r="L64" s="6" t="b">
        <v>1</v>
      </c>
      <c r="M64" s="6" t="b">
        <v>1</v>
      </c>
      <c r="N64" s="6" t="str">
        <v>NA</v>
      </c>
      <c r="O64" s="6" t="str">
        <v>NA</v>
      </c>
      <c r="P64" s="6" t="b">
        <v>1</v>
      </c>
      <c r="Q64" s="6" t="str">
        <v>NA</v>
      </c>
      <c r="R64" s="6" t="str">
        <v>NA</v>
      </c>
      <c r="S64" s="6" t="str">
        <v>NA</v>
      </c>
      <c r="T64" s="7">
        <v>0.77777777777777779</v>
      </c>
      <c r="U64" s="4">
        <f t="shared" si="0"/>
        <v>7</v>
      </c>
      <c r="V64" s="4">
        <f t="shared" si="1"/>
        <v>2</v>
      </c>
    </row>
    <row r="65" spans="1:22" ht="15.75" customHeight="1" x14ac:dyDescent="0.25">
      <c r="A65" s="5" t="str">
        <v>MTTO</v>
      </c>
      <c r="B65" s="5" t="str">
        <v>BUZOS COMERCIALES</v>
      </c>
      <c r="C65" s="6" t="b">
        <v>0</v>
      </c>
      <c r="D65" s="6" t="str">
        <v>NA</v>
      </c>
      <c r="E65" s="6" t="b">
        <v>1</v>
      </c>
      <c r="F65" s="6" t="b">
        <v>0</v>
      </c>
      <c r="G65" s="6" t="b">
        <v>1</v>
      </c>
      <c r="H65" s="6" t="b">
        <v>1</v>
      </c>
      <c r="I65" s="6" t="b">
        <v>1</v>
      </c>
      <c r="J65" s="6" t="b">
        <v>0</v>
      </c>
      <c r="K65" s="6" t="b">
        <v>1</v>
      </c>
      <c r="L65" s="6" t="b">
        <v>1</v>
      </c>
      <c r="M65" s="6" t="b">
        <v>1</v>
      </c>
      <c r="N65" s="6" t="str">
        <v>NA</v>
      </c>
      <c r="O65" s="6" t="str">
        <v>NA</v>
      </c>
      <c r="P65" s="6" t="b">
        <v>0</v>
      </c>
      <c r="Q65" s="6" t="str">
        <v>NA</v>
      </c>
      <c r="R65" s="6" t="str">
        <v>NA</v>
      </c>
      <c r="S65" s="6" t="str">
        <v>NA</v>
      </c>
      <c r="T65" s="7">
        <v>0.63636363636363635</v>
      </c>
      <c r="U65" s="4">
        <f t="shared" si="0"/>
        <v>7</v>
      </c>
      <c r="V65" s="4">
        <f t="shared" si="1"/>
        <v>4</v>
      </c>
    </row>
    <row r="66" spans="1:22" ht="15.75" customHeight="1" x14ac:dyDescent="0.25">
      <c r="A66" s="5" t="str">
        <v>MTTO</v>
      </c>
      <c r="B66" s="5" t="str">
        <v>MONTESDEOCA JULIO</v>
      </c>
      <c r="C66" s="6" t="b">
        <v>1</v>
      </c>
      <c r="D66" s="6" t="str">
        <v>NA</v>
      </c>
      <c r="E66" s="6" t="str">
        <v>NA</v>
      </c>
      <c r="F66" s="6" t="b">
        <v>1</v>
      </c>
      <c r="G66" s="6" t="str">
        <v>NA</v>
      </c>
      <c r="H66" s="6" t="b">
        <v>1</v>
      </c>
      <c r="I66" s="6" t="b">
        <v>1</v>
      </c>
      <c r="J66" s="6" t="b">
        <v>0</v>
      </c>
      <c r="K66" s="6" t="b">
        <v>1</v>
      </c>
      <c r="L66" s="6" t="b">
        <v>1</v>
      </c>
      <c r="M66" s="6" t="b">
        <v>1</v>
      </c>
      <c r="N66" s="6" t="str">
        <v>NA</v>
      </c>
      <c r="O66" s="6" t="str">
        <v>NA</v>
      </c>
      <c r="P66" s="6" t="b">
        <v>1</v>
      </c>
      <c r="Q66" s="6" t="str">
        <v>NA</v>
      </c>
      <c r="R66" s="6" t="str">
        <v>NA</v>
      </c>
      <c r="S66" s="6" t="str">
        <v>NA</v>
      </c>
      <c r="T66" s="7">
        <v>0.72727272727272729</v>
      </c>
      <c r="U66" s="4">
        <f t="shared" si="0"/>
        <v>8</v>
      </c>
      <c r="V66" s="4">
        <f t="shared" si="1"/>
        <v>1</v>
      </c>
    </row>
    <row r="67" spans="1:22" ht="15.75" customHeight="1" x14ac:dyDescent="0.25">
      <c r="A67" s="5" t="str">
        <v>MTTO</v>
      </c>
      <c r="B67" s="5" t="str">
        <v>COFESAN</v>
      </c>
      <c r="C67" s="6" t="b">
        <v>1</v>
      </c>
      <c r="D67" s="6" t="str">
        <v>NA</v>
      </c>
      <c r="E67" s="6" t="b">
        <v>1</v>
      </c>
      <c r="F67" s="6" t="b">
        <v>1</v>
      </c>
      <c r="G67" s="6" t="b">
        <v>1</v>
      </c>
      <c r="H67" s="6" t="b">
        <v>1</v>
      </c>
      <c r="I67" s="6" t="b">
        <v>1</v>
      </c>
      <c r="J67" s="6" t="b">
        <v>1</v>
      </c>
      <c r="K67" s="6" t="b">
        <v>1</v>
      </c>
      <c r="L67" s="6" t="b">
        <v>1</v>
      </c>
      <c r="M67" s="6" t="b">
        <v>1</v>
      </c>
      <c r="N67" s="6" t="str">
        <v>NA</v>
      </c>
      <c r="O67" s="6" t="str">
        <v>NA</v>
      </c>
      <c r="P67" s="6" t="b">
        <v>1</v>
      </c>
      <c r="Q67" s="6" t="str">
        <v>NA</v>
      </c>
      <c r="R67" s="6" t="str">
        <v>NA</v>
      </c>
      <c r="S67" s="6" t="str">
        <v>NA</v>
      </c>
      <c r="T67" s="7">
        <v>1</v>
      </c>
      <c r="U67" s="4">
        <f t="shared" ref="U67:U75" si="2">COUNTIF(C67:S67,TRUE)</f>
        <v>11</v>
      </c>
      <c r="V67" s="4">
        <f t="shared" ref="V67:V75" si="3">COUNTIF(C67:S67,FALSE)</f>
        <v>0</v>
      </c>
    </row>
    <row r="68" spans="1:22" ht="15.75" customHeight="1" x14ac:dyDescent="0.25">
      <c r="A68" s="5" t="str">
        <v>MTTO</v>
      </c>
      <c r="B68" s="5" t="str">
        <v>ECUMSOLUTIONS</v>
      </c>
      <c r="C68" s="6" t="b">
        <v>1</v>
      </c>
      <c r="D68" s="6" t="str">
        <v>NA</v>
      </c>
      <c r="E68" s="6" t="b">
        <v>1</v>
      </c>
      <c r="F68" s="6" t="b">
        <v>1</v>
      </c>
      <c r="G68" s="6" t="b">
        <v>1</v>
      </c>
      <c r="H68" s="6" t="b">
        <v>1</v>
      </c>
      <c r="I68" s="6" t="b">
        <v>1</v>
      </c>
      <c r="J68" s="6" t="b">
        <v>1</v>
      </c>
      <c r="K68" s="6" t="b">
        <v>1</v>
      </c>
      <c r="L68" s="6" t="b">
        <v>1</v>
      </c>
      <c r="M68" s="6" t="b">
        <v>1</v>
      </c>
      <c r="N68" s="6" t="str">
        <v>NA</v>
      </c>
      <c r="O68" s="6" t="str">
        <v>NA</v>
      </c>
      <c r="P68" s="6" t="b">
        <v>1</v>
      </c>
      <c r="Q68" s="6" t="str">
        <v>NA</v>
      </c>
      <c r="R68" s="6" t="str">
        <v>NA</v>
      </c>
      <c r="S68" s="6" t="str">
        <v>NA</v>
      </c>
      <c r="T68" s="7">
        <v>1</v>
      </c>
      <c r="U68" s="4">
        <f t="shared" si="2"/>
        <v>11</v>
      </c>
      <c r="V68" s="4">
        <f t="shared" si="3"/>
        <v>0</v>
      </c>
    </row>
    <row r="69" spans="1:22" x14ac:dyDescent="0.25">
      <c r="A69" s="5" t="str">
        <v>MTTO</v>
      </c>
      <c r="B69" s="5" t="str">
        <v>ECUATRAILER</v>
      </c>
      <c r="C69" s="6" t="b">
        <v>0</v>
      </c>
      <c r="D69" s="6" t="str">
        <v>NA</v>
      </c>
      <c r="E69" s="6" t="b">
        <v>1</v>
      </c>
      <c r="F69" s="6" t="b">
        <v>1</v>
      </c>
      <c r="G69" s="6" t="b">
        <v>1</v>
      </c>
      <c r="H69" s="6" t="b">
        <v>1</v>
      </c>
      <c r="I69" s="6" t="b">
        <v>1</v>
      </c>
      <c r="J69" s="6" t="b">
        <v>0</v>
      </c>
      <c r="K69" s="6" t="b">
        <v>1</v>
      </c>
      <c r="L69" s="6" t="b">
        <v>1</v>
      </c>
      <c r="M69" s="6" t="b">
        <v>1</v>
      </c>
      <c r="N69" s="6" t="str">
        <v>NA</v>
      </c>
      <c r="O69" s="6" t="str">
        <v>NA</v>
      </c>
      <c r="P69" s="6" t="b">
        <v>1</v>
      </c>
      <c r="Q69" s="6" t="str">
        <v>NA</v>
      </c>
      <c r="R69" s="6" t="str">
        <v>NA</v>
      </c>
      <c r="S69" s="6" t="str">
        <v>NA</v>
      </c>
      <c r="T69" s="7">
        <v>0.81818181818181823</v>
      </c>
      <c r="U69" s="4">
        <f t="shared" si="2"/>
        <v>9</v>
      </c>
      <c r="V69" s="4">
        <f t="shared" si="3"/>
        <v>2</v>
      </c>
    </row>
    <row r="70" spans="1:22" x14ac:dyDescent="0.25">
      <c r="A70" s="5" t="str">
        <v>MTTO</v>
      </c>
      <c r="B70" s="5" t="str">
        <v>BANDAS BTM</v>
      </c>
      <c r="C70" s="6" t="b">
        <v>1</v>
      </c>
      <c r="D70" s="6" t="str">
        <v>NA</v>
      </c>
      <c r="E70" s="6" t="b">
        <v>1</v>
      </c>
      <c r="F70" s="6" t="b">
        <v>1</v>
      </c>
      <c r="G70" s="6" t="b">
        <v>1</v>
      </c>
      <c r="H70" s="6" t="b">
        <v>1</v>
      </c>
      <c r="I70" s="6" t="b">
        <v>1</v>
      </c>
      <c r="J70" s="6" t="b">
        <v>0</v>
      </c>
      <c r="K70" s="6" t="b">
        <v>1</v>
      </c>
      <c r="L70" s="6" t="b">
        <v>1</v>
      </c>
      <c r="M70" s="6" t="b">
        <v>1</v>
      </c>
      <c r="N70" s="6" t="str">
        <v>NA</v>
      </c>
      <c r="O70" s="6" t="str">
        <v>NA</v>
      </c>
      <c r="P70" s="6" t="b">
        <v>1</v>
      </c>
      <c r="Q70" s="6" t="str">
        <v>NA</v>
      </c>
      <c r="R70" s="6" t="str">
        <v>NA</v>
      </c>
      <c r="S70" s="6" t="str">
        <v>NA</v>
      </c>
      <c r="T70" s="7">
        <v>0.90909090909090906</v>
      </c>
      <c r="U70" s="4">
        <f t="shared" si="2"/>
        <v>10</v>
      </c>
      <c r="V70" s="4">
        <f t="shared" si="3"/>
        <v>1</v>
      </c>
    </row>
    <row r="71" spans="1:22" x14ac:dyDescent="0.25">
      <c r="A71" s="5" t="str">
        <v>MTTO</v>
      </c>
      <c r="B71" s="5" t="str">
        <v>HUGO PERFECTO</v>
      </c>
      <c r="C71" s="6" t="b">
        <v>1</v>
      </c>
      <c r="D71" s="6" t="str">
        <v>NA</v>
      </c>
      <c r="E71" s="6" t="str">
        <v>NA</v>
      </c>
      <c r="F71" s="6" t="b">
        <v>1</v>
      </c>
      <c r="G71" s="6" t="str">
        <v>NA</v>
      </c>
      <c r="H71" s="6" t="b">
        <v>1</v>
      </c>
      <c r="I71" s="6" t="b">
        <v>1</v>
      </c>
      <c r="J71" s="6" t="b">
        <v>1</v>
      </c>
      <c r="K71" s="6" t="b">
        <v>1</v>
      </c>
      <c r="L71" s="6" t="b">
        <v>1</v>
      </c>
      <c r="M71" s="6" t="b">
        <v>1</v>
      </c>
      <c r="N71" s="6" t="str">
        <v>NA</v>
      </c>
      <c r="O71" s="6" t="str">
        <v>NA</v>
      </c>
      <c r="P71" s="6" t="b">
        <v>1</v>
      </c>
      <c r="Q71" s="6" t="str">
        <v>NA</v>
      </c>
      <c r="R71" s="6" t="str">
        <v>NA</v>
      </c>
      <c r="S71" s="6" t="str">
        <v>NA</v>
      </c>
      <c r="T71" s="7">
        <v>1</v>
      </c>
      <c r="U71" s="4">
        <f t="shared" si="2"/>
        <v>9</v>
      </c>
      <c r="V71" s="4">
        <f t="shared" si="3"/>
        <v>0</v>
      </c>
    </row>
    <row r="72" spans="1:22" x14ac:dyDescent="0.25">
      <c r="A72" s="5" t="str">
        <v>MTTO</v>
      </c>
      <c r="B72" s="5" t="str">
        <v>BRITRANSFORMADORES</v>
      </c>
      <c r="C72" s="6" t="b">
        <v>1</v>
      </c>
      <c r="D72" s="6" t="str">
        <v>NA</v>
      </c>
      <c r="E72" s="6" t="b">
        <v>1</v>
      </c>
      <c r="F72" s="6" t="b">
        <v>1</v>
      </c>
      <c r="G72" s="6" t="b">
        <v>1</v>
      </c>
      <c r="H72" s="6" t="b">
        <v>1</v>
      </c>
      <c r="I72" s="6" t="b">
        <v>1</v>
      </c>
      <c r="J72" s="6" t="b">
        <v>1</v>
      </c>
      <c r="K72" s="6" t="b">
        <v>0</v>
      </c>
      <c r="L72" s="6" t="b">
        <v>1</v>
      </c>
      <c r="M72" s="6" t="b">
        <v>1</v>
      </c>
      <c r="N72" s="6" t="str">
        <v>NA</v>
      </c>
      <c r="O72" s="6" t="str">
        <v>NA</v>
      </c>
      <c r="P72" s="6" t="b">
        <v>1</v>
      </c>
      <c r="Q72" s="6" t="str">
        <v>NA</v>
      </c>
      <c r="R72" s="6" t="str">
        <v>NA</v>
      </c>
      <c r="S72" s="6" t="str">
        <v>NA</v>
      </c>
      <c r="T72" s="7">
        <v>0.90909090909090906</v>
      </c>
      <c r="U72" s="4">
        <f t="shared" si="2"/>
        <v>10</v>
      </c>
      <c r="V72" s="4">
        <f t="shared" si="3"/>
        <v>1</v>
      </c>
    </row>
    <row r="73" spans="1:22" x14ac:dyDescent="0.25">
      <c r="A73" s="5" t="str">
        <v>MTTO</v>
      </c>
      <c r="B73" s="5" t="str">
        <v>JORGE GAIBOR</v>
      </c>
      <c r="C73" s="6" t="b">
        <v>1</v>
      </c>
      <c r="D73" s="6" t="str">
        <v>NA</v>
      </c>
      <c r="E73" s="6" t="str">
        <v>NA</v>
      </c>
      <c r="F73" s="6" t="b">
        <v>1</v>
      </c>
      <c r="G73" s="6" t="str">
        <v>NA</v>
      </c>
      <c r="H73" s="6" t="b">
        <v>0</v>
      </c>
      <c r="I73" s="6" t="b">
        <v>1</v>
      </c>
      <c r="J73" s="6" t="b">
        <v>1</v>
      </c>
      <c r="K73" s="6" t="b">
        <v>1</v>
      </c>
      <c r="L73" s="6" t="b">
        <v>0</v>
      </c>
      <c r="M73" s="6" t="b">
        <v>1</v>
      </c>
      <c r="N73" s="6" t="str">
        <v>NA</v>
      </c>
      <c r="O73" s="6" t="str">
        <v>NA</v>
      </c>
      <c r="P73" s="6" t="b">
        <v>1</v>
      </c>
      <c r="Q73" s="6" t="str">
        <v>NA</v>
      </c>
      <c r="R73" s="6" t="str">
        <v>NA</v>
      </c>
      <c r="S73" s="6" t="str">
        <v>NA</v>
      </c>
      <c r="T73" s="7">
        <v>0.77777777777777779</v>
      </c>
      <c r="U73" s="4">
        <f t="shared" si="2"/>
        <v>7</v>
      </c>
      <c r="V73" s="4">
        <f t="shared" si="3"/>
        <v>2</v>
      </c>
    </row>
    <row r="74" spans="1:22" x14ac:dyDescent="0.25">
      <c r="A74" s="5" t="str">
        <v>MTTO</v>
      </c>
      <c r="B74" s="5" t="str">
        <v>AUTOMATIZACION Y CONTROL PARA LA INDUSTRIA</v>
      </c>
      <c r="C74" s="6" t="b">
        <v>1</v>
      </c>
      <c r="D74" s="6" t="str">
        <v>NA</v>
      </c>
      <c r="E74" s="6" t="b">
        <v>1</v>
      </c>
      <c r="F74" s="6" t="b">
        <v>1</v>
      </c>
      <c r="G74" s="6" t="b">
        <v>1</v>
      </c>
      <c r="H74" s="6" t="b">
        <v>1</v>
      </c>
      <c r="I74" s="6" t="b">
        <v>1</v>
      </c>
      <c r="J74" s="6" t="b">
        <v>1</v>
      </c>
      <c r="K74" s="6" t="b">
        <v>1</v>
      </c>
      <c r="L74" s="6" t="b">
        <v>1</v>
      </c>
      <c r="M74" s="6" t="b">
        <v>1</v>
      </c>
      <c r="N74" s="6" t="str">
        <v>NA</v>
      </c>
      <c r="O74" s="6" t="str">
        <v>NA</v>
      </c>
      <c r="P74" s="6" t="b">
        <v>1</v>
      </c>
      <c r="Q74" s="6" t="str">
        <v>NA</v>
      </c>
      <c r="R74" s="6" t="str">
        <v>NA</v>
      </c>
      <c r="S74" s="6" t="str">
        <v>NA</v>
      </c>
      <c r="T74" s="7">
        <v>1</v>
      </c>
      <c r="U74" s="4">
        <f t="shared" si="2"/>
        <v>11</v>
      </c>
      <c r="V74" s="4">
        <f t="shared" si="3"/>
        <v>0</v>
      </c>
    </row>
    <row r="75" spans="1:22" x14ac:dyDescent="0.25">
      <c r="A75" s="5" t="str">
        <v>MTTO</v>
      </c>
      <c r="B75" s="5" t="str">
        <v>ISOLLANTA</v>
      </c>
      <c r="C75" s="6" t="b">
        <v>1</v>
      </c>
      <c r="D75" s="6" t="str">
        <v>NA</v>
      </c>
      <c r="E75" s="6" t="b">
        <v>1</v>
      </c>
      <c r="F75" s="6" t="b">
        <v>1</v>
      </c>
      <c r="G75" s="6" t="b">
        <v>0</v>
      </c>
      <c r="H75" s="6" t="b">
        <v>1</v>
      </c>
      <c r="I75" s="6" t="b">
        <v>0</v>
      </c>
      <c r="J75" s="6" t="b">
        <v>0</v>
      </c>
      <c r="K75" s="6" t="b">
        <v>1</v>
      </c>
      <c r="L75" s="6" t="b">
        <v>1</v>
      </c>
      <c r="M75" s="6" t="b">
        <v>1</v>
      </c>
      <c r="N75" s="6" t="str">
        <v>NA</v>
      </c>
      <c r="O75" s="6" t="str">
        <v>NA</v>
      </c>
      <c r="P75" s="6" t="b">
        <v>0</v>
      </c>
      <c r="Q75" s="6" t="str">
        <v>NA</v>
      </c>
      <c r="R75" s="6" t="str">
        <v>NA</v>
      </c>
      <c r="S75" s="6" t="str">
        <v>NA</v>
      </c>
      <c r="T75" s="7">
        <v>0.63636363636363635</v>
      </c>
      <c r="U75" s="4">
        <f t="shared" si="2"/>
        <v>7</v>
      </c>
      <c r="V75" s="4">
        <f t="shared" si="3"/>
        <v>4</v>
      </c>
    </row>
  </sheetData>
  <conditionalFormatting sqref="T1">
    <cfRule type="cellIs" dxfId="3" priority="1" operator="equal">
      <formula>1</formula>
    </cfRule>
  </conditionalFormatting>
  <conditionalFormatting sqref="U2:V75">
    <cfRule type="cellIs" dxfId="2" priority="2" operator="equal">
      <formula>FALSE</formula>
    </cfRule>
  </conditionalFormatting>
  <conditionalFormatting sqref="V138:V1048576">
    <cfRule type="cellIs" dxfId="1" priority="6" operator="equal">
      <formula>1</formula>
    </cfRule>
  </conditionalFormatting>
  <conditionalFormatting sqref="W7">
    <cfRule type="cellIs" dxfId="0" priority="5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PS_Tommy Reyes</dc:creator>
  <cp:lastModifiedBy>PS_Tommy Reyes</cp:lastModifiedBy>
  <dcterms:created xsi:type="dcterms:W3CDTF">2026-08-11T17:24:09Z</dcterms:created>
  <dcterms:modified xsi:type="dcterms:W3CDTF">2026-08-31T16:36:27Z</dcterms:modified>
</cp:coreProperties>
</file>